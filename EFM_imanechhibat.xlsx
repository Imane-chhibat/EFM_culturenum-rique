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cccccc\"/>
    </mc:Choice>
  </mc:AlternateContent>
  <xr:revisionPtr revIDLastSave="0" documentId="13_ncr:1_{B21A8287-87D5-467F-8414-6DC882A93B0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Feuil1" sheetId="2" r:id="rId1"/>
    <sheet name="dashbord" sheetId="5" r:id="rId2"/>
    <sheet name="Feuil2" sheetId="3" state="hidden" r:id="rId3"/>
    <sheet name="Assurances_Auto" sheetId="1" r:id="rId4"/>
  </sheets>
  <definedNames>
    <definedName name="Segment_Type_Assurance">#N/A</definedName>
    <definedName name="Segment_Ville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3" i="1" l="1"/>
  <c r="S49" i="1"/>
  <c r="S59" i="1"/>
  <c r="T59" i="1"/>
  <c r="R2" i="1"/>
  <c r="S55" i="1"/>
  <c r="S5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2" i="1"/>
  <c r="R3" i="1"/>
  <c r="R8" i="1"/>
  <c r="R11" i="1"/>
  <c r="R16" i="1"/>
  <c r="R19" i="1"/>
  <c r="R21" i="1"/>
  <c r="R24" i="1"/>
  <c r="R27" i="1"/>
  <c r="R29" i="1"/>
  <c r="R31" i="1"/>
  <c r="R32" i="1"/>
  <c r="R35" i="1"/>
  <c r="R37" i="1"/>
  <c r="R39" i="1"/>
  <c r="R4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R23" i="1" l="1"/>
  <c r="R15" i="1"/>
  <c r="R7" i="1"/>
  <c r="R38" i="1"/>
  <c r="R30" i="1"/>
  <c r="R22" i="1"/>
  <c r="R14" i="1"/>
  <c r="R6" i="1"/>
  <c r="R13" i="1"/>
  <c r="R5" i="1"/>
  <c r="R36" i="1"/>
  <c r="R28" i="1"/>
  <c r="R20" i="1"/>
  <c r="R12" i="1"/>
  <c r="R4" i="1"/>
  <c r="R34" i="1"/>
  <c r="R26" i="1"/>
  <c r="R18" i="1"/>
  <c r="R10" i="1"/>
  <c r="R41" i="1"/>
  <c r="R33" i="1"/>
  <c r="R25" i="1"/>
  <c r="R17" i="1"/>
  <c r="R9" i="1"/>
</calcChain>
</file>

<file path=xl/sharedStrings.xml><?xml version="1.0" encoding="utf-8"?>
<sst xmlns="http://schemas.openxmlformats.org/spreadsheetml/2006/main" count="342" uniqueCount="174">
  <si>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</si>
  <si>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</si>
  <si>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</si>
  <si>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</si>
  <si>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</si>
  <si>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</si>
  <si>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</si>
  <si>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</si>
  <si>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</si>
  <si>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</si>
  <si>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</si>
  <si>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</si>
  <si>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</si>
  <si>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</si>
  <si>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</si>
  <si>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</si>
  <si>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</si>
  <si>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</si>
  <si>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</si>
  <si>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</si>
  <si>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</si>
  <si>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</si>
  <si>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</si>
  <si>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</si>
  <si>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</si>
  <si>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</si>
  <si>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</si>
  <si>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</si>
  <si>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</si>
  <si>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</si>
  <si>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</si>
  <si>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</si>
  <si>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</si>
  <si>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</si>
  <si>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</si>
  <si>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</si>
  <si>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</si>
  <si>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</si>
  <si>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</si>
  <si>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</si>
  <si>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</si>
  <si>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</si>
  <si>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</si>
  <si>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</si>
  <si>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</si>
  <si>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</si>
  <si>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</si>
  <si>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</si>
  <si>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</si>
  <si>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</si>
  <si>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</si>
  <si>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</si>
  <si>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</si>
  <si>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</si>
  <si>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</si>
  <si>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</si>
  <si>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</si>
  <si>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</si>
  <si>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</si>
  <si>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</si>
  <si>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</si>
  <si>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</si>
  <si>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</si>
  <si>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</si>
  <si>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</si>
  <si>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</si>
  <si>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</si>
  <si>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</si>
  <si>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</si>
  <si>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</si>
  <si>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</si>
  <si>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</si>
  <si>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</si>
  <si>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</si>
  <si>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</si>
  <si>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</si>
  <si>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</si>
  <si>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</si>
  <si>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</si>
  <si>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</si>
  <si>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</si>
  <si>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</si>
  <si>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</si>
  <si>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</si>
  <si>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</si>
  <si>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</si>
  <si>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</si>
  <si>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</si>
  <si>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</si>
  <si>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</si>
  <si>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</si>
  <si>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</si>
  <si>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</si>
  <si>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</si>
  <si>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</si>
  <si>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</si>
  <si>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</si>
  <si>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</si>
  <si>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</si>
  <si>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</si>
  <si>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</si>
  <si>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</si>
  <si>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</si>
  <si>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</si>
  <si>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</si>
  <si>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</si>
  <si>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</si>
  <si>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</si>
  <si>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</si>
  <si>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</si>
  <si>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</si>
  <si>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</si>
  <si>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</si>
  <si>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</si>
  <si>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</si>
  <si>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</si>
  <si>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</si>
  <si>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</si>
  <si>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</si>
  <si>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</si>
  <si>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</si>
  <si>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</si>
  <si>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</si>
  <si>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</si>
  <si>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</si>
  <si>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</si>
  <si>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</si>
  <si>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</si>
  <si>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</si>
  <si>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</si>
  <si>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</si>
  <si>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</si>
  <si>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</si>
  <si>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</si>
  <si>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</si>
  <si>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</si>
  <si>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</si>
  <si>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</si>
  <si>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</si>
  <si>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</si>
  <si>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</si>
  <si>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</si>
  <si>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</si>
  <si>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</si>
  <si>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</si>
  <si>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</si>
  <si>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</si>
  <si>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</si>
  <si>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</si>
  <si>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</si>
  <si>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</si>
  <si>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</si>
  <si>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</si>
  <si>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</si>
  <si>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</si>
  <si>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rang_prim</t>
  </si>
  <si>
    <t xml:space="preserve"> Nombre de contrats Tous Risques</t>
  </si>
  <si>
    <t xml:space="preserve">Nombre de véhicules Voiture </t>
  </si>
  <si>
    <t xml:space="preserve">les fonction </t>
  </si>
  <si>
    <t xml:space="preserve">Total des primes pour la ville de Ouarzazate
 </t>
  </si>
  <si>
    <t xml:space="preserve">Total des primes pour le type Camion 
</t>
  </si>
  <si>
    <t xml:space="preserve"> Nom</t>
  </si>
  <si>
    <t xml:space="preserve"> Prime_Totale</t>
  </si>
  <si>
    <t>Étiquettes de lignes</t>
  </si>
  <si>
    <t>Total général</t>
  </si>
  <si>
    <t>Somme de Prime_Totale</t>
  </si>
  <si>
    <t>Dashbord</t>
  </si>
  <si>
    <t>Nombre de ID_Client</t>
  </si>
  <si>
    <t>Moyenne de Prime_Base</t>
  </si>
  <si>
    <t>Nombre de Nom</t>
  </si>
  <si>
    <t>Premium</t>
  </si>
  <si>
    <t>Standard</t>
  </si>
  <si>
    <t>janv</t>
  </si>
  <si>
    <t>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</si>
</sst>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4" tint="-0.24997711111789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/>
    <xf numFmtId="0" fontId="0" fillId="3" borderId="0" xfId="0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pivotButton="1"/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5" borderId="0" xfId="0" applyFill="1" applyAlignment="1"/>
    <xf numFmtId="0" fontId="5" fillId="5" borderId="0" xfId="0" applyFont="1" applyFill="1" applyAlignment="1"/>
    <xf numFmtId="0" fontId="0" fillId="5" borderId="0" xfId="0" applyFill="1"/>
    <xf numFmtId="0" fontId="6" fillId="4" borderId="0" xfId="0" applyFont="1" applyFill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[EFM.xlsx]Feuil1!Tableau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latin typeface="+mj-lt"/>
              </a:rPr>
              <a:t>Total des primes par Type_Assurance </a:t>
            </a:r>
            <a:endParaRPr lang="en-US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Feuil1!$A$4:$A$5</c:f>
              <c:strCache>
                <c:ptCount val="1"/>
                <c:pt idx="0">
                  <c:v>Tiers+</c:v>
                </c:pt>
              </c:strCache>
            </c:strRef>
          </c:cat>
          <c:val>
            <c:numRef>
              <c:f>Feuil1!$B$4:$B$5</c:f>
              <c:numCache>
                <c:formatCode>General</c:formatCode>
                <c:ptCount val="1"/>
                <c:pt idx="0">
                  <c:v>40131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3-481D-BFBF-DBCB47A022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2766528"/>
        <c:axId val="492766856"/>
      </c:barChart>
      <c:catAx>
        <c:axId val="49276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766856"/>
        <c:crosses val="autoZero"/>
        <c:auto val="1"/>
        <c:lblAlgn val="ctr"/>
        <c:lblOffset val="100"/>
        <c:noMultiLvlLbl val="0"/>
      </c:catAx>
      <c:valAx>
        <c:axId val="49276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76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[EFM.xlsx]Feuil1!Tableau croisé dynamique8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latin typeface="+mj-lt"/>
              </a:rPr>
              <a:t>Nombre de contrats par Ville</a:t>
            </a:r>
            <a:endParaRPr lang="en-US" sz="1400" b="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Feuil1!$E$3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96-49C6-ADF9-68BD1D254BF9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96-49C6-ADF9-68BD1D254BF9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96-49C6-ADF9-68BD1D254BF9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96-49C6-ADF9-68BD1D254BF9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96-49C6-ADF9-68BD1D254BF9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496-49C6-ADF9-68BD1D254BF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Feuil1!$D$4:$D$10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Feuil1!$E$4:$E$10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96-49C6-ADF9-68BD1D254BF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[EFM.xlsx]Feuil1!Tableau croisé dynamique9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cap="all" baseline="0">
                <a:latin typeface="+mj-lt"/>
              </a:rPr>
              <a:t>Prime moyenne par Type_Vehicule </a:t>
            </a:r>
            <a:endParaRPr lang="en-US" sz="140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4"/>
              </a:gs>
              <a:gs pos="75000">
                <a:schemeClr val="accent4">
                  <a:lumMod val="60000"/>
                  <a:lumOff val="40000"/>
                </a:schemeClr>
              </a:gs>
              <a:gs pos="51000">
                <a:schemeClr val="accent4">
                  <a:alpha val="75000"/>
                </a:schemeClr>
              </a:gs>
              <a:gs pos="100000">
                <a:schemeClr val="accent4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Feuil1!$A$15:$A$18</c:f>
              <c:strCache>
                <c:ptCount val="3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</c:strCache>
            </c:strRef>
          </c:cat>
          <c:val>
            <c:numRef>
              <c:f>Feuil1!$B$15:$B$18</c:f>
              <c:numCache>
                <c:formatCode>General</c:formatCode>
                <c:ptCount val="3"/>
                <c:pt idx="0">
                  <c:v>2700</c:v>
                </c:pt>
                <c:pt idx="1">
                  <c:v>2730</c:v>
                </c:pt>
                <c:pt idx="2">
                  <c:v>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5-46D4-B528-291EEB9DF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544598608"/>
        <c:axId val="544598936"/>
      </c:barChart>
      <c:catAx>
        <c:axId val="54459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4598936"/>
        <c:crosses val="autoZero"/>
        <c:auto val="1"/>
        <c:lblAlgn val="ctr"/>
        <c:lblOffset val="100"/>
        <c:noMultiLvlLbl val="0"/>
      </c:catAx>
      <c:valAx>
        <c:axId val="544598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459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[EFM.xlsx]Feuil1!Tableau croisé dynamique16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Répartition des clients par Statut </a:t>
            </a:r>
            <a:endParaRPr lang="en-US" sz="1400">
              <a:solidFill>
                <a:schemeClr val="tx1">
                  <a:lumMod val="75000"/>
                  <a:lumOff val="25000"/>
                </a:schemeClr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Feuil1!$E$14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4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4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EF-4675-BAD6-7F80DCBA30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4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4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EF-4675-BAD6-7F80DCBA30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Feuil1!$D$15:$D$17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Feuil1!$E$15:$E$17</c:f>
              <c:numCache>
                <c:formatCode>General</c:formatCode>
                <c:ptCount val="2"/>
                <c:pt idx="0">
                  <c:v>34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EF-4675-BAD6-7F80DCBA30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[EFM.xlsx]Feuil1!Tableau croisé dynamique21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latin typeface="+mj-lt"/>
              </a:rPr>
              <a:t>Total des primes par Mois </a:t>
            </a:r>
            <a:endParaRPr lang="en-US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D0-4F0B-84AB-A14F60C9F59C}"/>
              </c:ext>
            </c:extLst>
          </c:dPt>
          <c:cat>
            <c:strRef>
              <c:f>Feuil1!$A$22:$A$23</c:f>
              <c:strCache>
                <c:ptCount val="1"/>
                <c:pt idx="0">
                  <c:v>janv</c:v>
                </c:pt>
              </c:strCache>
            </c:strRef>
          </c:cat>
          <c:val>
            <c:numRef>
              <c:f>Feuil1!$B$22:$B$23</c:f>
              <c:numCache>
                <c:formatCode>General</c:formatCode>
                <c:ptCount val="1"/>
                <c:pt idx="0">
                  <c:v>114293.4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D0-4F0B-84AB-A14F60C9F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00590648"/>
        <c:axId val="800588352"/>
      </c:barChart>
      <c:valAx>
        <c:axId val="80058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590648"/>
        <c:crosses val="autoZero"/>
        <c:crossBetween val="between"/>
      </c:valAx>
      <c:catAx>
        <c:axId val="800590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588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[EFM.xlsx]Feuil1!Tableau croisé dynamique22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 sz="1200" b="1" i="0" u="none" strike="noStrike" cap="none" normalizeH="0" baseline="0">
                <a:latin typeface="+mj-lt"/>
              </a:rPr>
              <a:t>Top 5 clients par Prime_Totale </a:t>
            </a:r>
            <a:endParaRPr lang="en-US" sz="120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/>
          </a:solidFill>
          <a:ln w="22225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2225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Feuil1!$B$26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Feuil1!$A$27:$A$32</c:f>
              <c:strCache>
                <c:ptCount val="5"/>
                <c:pt idx="0">
                  <c:v>Ait Brahim</c:v>
                </c:pt>
                <c:pt idx="1">
                  <c:v>Benchekroun</c:v>
                </c:pt>
                <c:pt idx="2">
                  <c:v>El Mouden</c:v>
                </c:pt>
                <c:pt idx="3">
                  <c:v>Karrouchi</c:v>
                </c:pt>
                <c:pt idx="4">
                  <c:v>Ouhmid</c:v>
                </c:pt>
              </c:strCache>
            </c:strRef>
          </c:cat>
          <c:val>
            <c:numRef>
              <c:f>Feuil1!$B$27:$B$32</c:f>
              <c:numCache>
                <c:formatCode>General</c:formatCode>
                <c:ptCount val="5"/>
                <c:pt idx="0">
                  <c:v>4095</c:v>
                </c:pt>
                <c:pt idx="1">
                  <c:v>3955.2</c:v>
                </c:pt>
                <c:pt idx="2">
                  <c:v>3906</c:v>
                </c:pt>
                <c:pt idx="3">
                  <c:v>4006.8</c:v>
                </c:pt>
                <c:pt idx="4">
                  <c:v>3816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8-44D7-9B8D-4236997A6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122712"/>
        <c:axId val="803116480"/>
      </c:lineChart>
      <c:catAx>
        <c:axId val="80312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3116480"/>
        <c:crosses val="autoZero"/>
        <c:auto val="1"/>
        <c:lblAlgn val="ctr"/>
        <c:lblOffset val="100"/>
        <c:noMultiLvlLbl val="0"/>
      </c:catAx>
      <c:valAx>
        <c:axId val="8031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31227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259773</xdr:colOff>
      <xdr:row>11</xdr:row>
      <xdr:rowOff>163368</xdr:rowOff>
    </xdr:from>
    <xdr:to>
      <xdr:col>9</xdr:col>
      <xdr:colOff>447386</xdr:colOff>
      <xdr:row>31</xdr:row>
      <xdr:rowOff>86592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193490C-74BC-462E-AF6B-22D921AA7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24841</xdr:colOff>
      <xdr:row>11</xdr:row>
      <xdr:rowOff>186876</xdr:rowOff>
    </xdr:from>
    <xdr:to>
      <xdr:col>18</xdr:col>
      <xdr:colOff>144317</xdr:colOff>
      <xdr:row>31</xdr:row>
      <xdr:rowOff>14432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3890A78-4C2A-4846-9935-417104EBE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230909</xdr:colOff>
      <xdr:row>34</xdr:row>
      <xdr:rowOff>132253</xdr:rowOff>
    </xdr:from>
    <xdr:to>
      <xdr:col>9</xdr:col>
      <xdr:colOff>490681</xdr:colOff>
      <xdr:row>52</xdr:row>
      <xdr:rowOff>43295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358F0B6-322F-4FB8-AB2D-2CE414BAB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277699</xdr:colOff>
      <xdr:row>54</xdr:row>
      <xdr:rowOff>29394</xdr:rowOff>
    </xdr:from>
    <xdr:to>
      <xdr:col>9</xdr:col>
      <xdr:colOff>429558</xdr:colOff>
      <xdr:row>72</xdr:row>
      <xdr:rowOff>149411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31FDC0F-A13B-4A06-A097-B4C755E95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63379</xdr:colOff>
      <xdr:row>54</xdr:row>
      <xdr:rowOff>49908</xdr:rowOff>
    </xdr:from>
    <xdr:to>
      <xdr:col>18</xdr:col>
      <xdr:colOff>429560</xdr:colOff>
      <xdr:row>73</xdr:row>
      <xdr:rowOff>37353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5E631411-460B-4AA2-AD78-A6FD5CD80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37617</xdr:colOff>
      <xdr:row>34</xdr:row>
      <xdr:rowOff>111433</xdr:rowOff>
    </xdr:from>
    <xdr:to>
      <xdr:col>18</xdr:col>
      <xdr:colOff>303068</xdr:colOff>
      <xdr:row>52</xdr:row>
      <xdr:rowOff>72160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ADE5D23-D3FB-4698-B986-B272D7420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461817</xdr:colOff>
      <xdr:row>2</xdr:row>
      <xdr:rowOff>72160</xdr:rowOff>
    </xdr:from>
    <xdr:to>
      <xdr:col>21</xdr:col>
      <xdr:colOff>533977</xdr:colOff>
      <xdr:row>10</xdr:row>
      <xdr:rowOff>144318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Ville">
              <a:extLst>
                <a:ext uri="{FF2B5EF4-FFF2-40B4-BE49-F238E27FC236}">
                  <a16:creationId xmlns:a16="http://schemas.microsoft.com/office/drawing/2014/main" id="{F7751DD3-EB28-4EBB-99DF-2444BB369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12272" y="961160"/>
              <a:ext cx="2358160" cy="2011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476250</xdr:colOff>
      <xdr:row>3</xdr:row>
      <xdr:rowOff>274204</xdr:rowOff>
    </xdr:from>
    <xdr:to>
      <xdr:col>7</xdr:col>
      <xdr:colOff>173181</xdr:colOff>
      <xdr:row>10</xdr:row>
      <xdr:rowOff>115455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573F31B-D7A4-4743-B7E2-69EF1BFFF07A}"/>
            </a:ext>
          </a:extLst>
        </xdr:cNvPr>
        <xdr:cNvSpPr/>
      </xdr:nvSpPr>
      <xdr:spPr>
        <a:xfrm>
          <a:off x="2006023" y="837045"/>
          <a:ext cx="3521363" cy="1399887"/>
        </a:xfrm>
        <a:prstGeom prst="rect">
          <a:avLst/>
        </a:prstGeom>
        <a:noFill/>
        <a:ln w="28575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274204</xdr:colOff>
      <xdr:row>2</xdr:row>
      <xdr:rowOff>86591</xdr:rowOff>
    </xdr:from>
    <xdr:to>
      <xdr:col>7</xdr:col>
      <xdr:colOff>317499</xdr:colOff>
      <xdr:row>6</xdr:row>
      <xdr:rowOff>57727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841AD6F8-D89E-4CB2-B62F-AD3093E74AFD}"/>
            </a:ext>
          </a:extLst>
        </xdr:cNvPr>
        <xdr:cNvSpPr txBox="1"/>
      </xdr:nvSpPr>
      <xdr:spPr>
        <a:xfrm>
          <a:off x="1803977" y="461818"/>
          <a:ext cx="3867727" cy="9669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2400" b="1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Total des primes pour la ville de Ouarzazate</a:t>
          </a:r>
          <a:endParaRPr lang="fr-FR" sz="2400" b="1">
            <a:effectLst/>
            <a:latin typeface="+mj-lt"/>
          </a:endParaRPr>
        </a:p>
        <a:p>
          <a:endParaRPr lang="fr-FR" sz="1100"/>
        </a:p>
      </xdr:txBody>
    </xdr:sp>
    <xdr:clientData/>
  </xdr:twoCellAnchor>
  <xdr:twoCellAnchor>
    <xdr:from>
      <xdr:col>8</xdr:col>
      <xdr:colOff>245341</xdr:colOff>
      <xdr:row>3</xdr:row>
      <xdr:rowOff>288635</xdr:rowOff>
    </xdr:from>
    <xdr:to>
      <xdr:col>12</xdr:col>
      <xdr:colOff>707159</xdr:colOff>
      <xdr:row>10</xdr:row>
      <xdr:rowOff>129886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B0C7230-7E05-42FA-A95D-BF1ECD27E864}"/>
            </a:ext>
          </a:extLst>
        </xdr:cNvPr>
        <xdr:cNvSpPr/>
      </xdr:nvSpPr>
      <xdr:spPr>
        <a:xfrm>
          <a:off x="6364432" y="851476"/>
          <a:ext cx="3521363" cy="1399887"/>
        </a:xfrm>
        <a:prstGeom prst="rect">
          <a:avLst/>
        </a:prstGeom>
        <a:noFill/>
        <a:ln w="28575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663863</xdr:colOff>
      <xdr:row>2</xdr:row>
      <xdr:rowOff>86591</xdr:rowOff>
    </xdr:from>
    <xdr:to>
      <xdr:col>12</xdr:col>
      <xdr:colOff>707159</xdr:colOff>
      <xdr:row>6</xdr:row>
      <xdr:rowOff>57727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4F6E2C4F-19FF-4F68-A2D7-2CCC9651FD92}"/>
            </a:ext>
          </a:extLst>
        </xdr:cNvPr>
        <xdr:cNvSpPr txBox="1"/>
      </xdr:nvSpPr>
      <xdr:spPr>
        <a:xfrm>
          <a:off x="6018068" y="461818"/>
          <a:ext cx="3867727" cy="9669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2400" b="1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Nombre de véhicules Voiture </a:t>
          </a:r>
          <a:endParaRPr lang="fr-FR" sz="1100"/>
        </a:p>
      </xdr:txBody>
    </xdr:sp>
    <xdr:clientData/>
  </xdr:twoCellAnchor>
  <xdr:twoCellAnchor>
    <xdr:from>
      <xdr:col>13</xdr:col>
      <xdr:colOff>490683</xdr:colOff>
      <xdr:row>3</xdr:row>
      <xdr:rowOff>274204</xdr:rowOff>
    </xdr:from>
    <xdr:to>
      <xdr:col>18</xdr:col>
      <xdr:colOff>187614</xdr:colOff>
      <xdr:row>10</xdr:row>
      <xdr:rowOff>115455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09FE7F5-ED89-46E3-A111-5C66B811250C}"/>
            </a:ext>
          </a:extLst>
        </xdr:cNvPr>
        <xdr:cNvSpPr/>
      </xdr:nvSpPr>
      <xdr:spPr>
        <a:xfrm>
          <a:off x="10434206" y="837045"/>
          <a:ext cx="3521363" cy="1399887"/>
        </a:xfrm>
        <a:prstGeom prst="rect">
          <a:avLst/>
        </a:prstGeom>
        <a:noFill/>
        <a:ln w="28575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288637</xdr:colOff>
      <xdr:row>2</xdr:row>
      <xdr:rowOff>86591</xdr:rowOff>
    </xdr:from>
    <xdr:to>
      <xdr:col>18</xdr:col>
      <xdr:colOff>331932</xdr:colOff>
      <xdr:row>6</xdr:row>
      <xdr:rowOff>57727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FF9DCB86-D8CD-4981-B5CC-A767D2DB5564}"/>
            </a:ext>
          </a:extLst>
        </xdr:cNvPr>
        <xdr:cNvSpPr txBox="1"/>
      </xdr:nvSpPr>
      <xdr:spPr>
        <a:xfrm>
          <a:off x="10232160" y="461818"/>
          <a:ext cx="3867727" cy="9669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2400" b="1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Nombre de contrats Tous Risques</a:t>
          </a:r>
          <a:endParaRPr lang="fr-FR" sz="1100"/>
        </a:p>
      </xdr:txBody>
    </xdr:sp>
    <xdr:clientData/>
  </xdr:twoCellAnchor>
  <xdr:twoCellAnchor editAs="oneCell">
    <xdr:from>
      <xdr:col>8</xdr:col>
      <xdr:colOff>447385</xdr:colOff>
      <xdr:row>7</xdr:row>
      <xdr:rowOff>43295</xdr:rowOff>
    </xdr:from>
    <xdr:to>
      <xdr:col>9</xdr:col>
      <xdr:colOff>404091</xdr:colOff>
      <xdr:row>10</xdr:row>
      <xdr:rowOff>0</xdr:rowOff>
    </xdr:to>
    <xdr:pic>
      <xdr:nvPicPr>
        <xdr:cNvPr id="19" name="Graphique 18" descr="Voiture avec un remplissage uni">
          <a:extLst>
            <a:ext uri="{FF2B5EF4-FFF2-40B4-BE49-F238E27FC236}">
              <a16:creationId xmlns:a16="http://schemas.microsoft.com/office/drawing/2014/main" id="{84E0C5A5-F403-403A-BC9D-6E3DE9C9E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710794" y="1601931"/>
          <a:ext cx="721592" cy="721592"/>
        </a:xfrm>
        <a:prstGeom prst="rect">
          <a:avLst/>
        </a:prstGeom>
      </xdr:spPr>
    </xdr:pic>
    <xdr:clientData/>
  </xdr:twoCellAnchor>
  <xdr:twoCellAnchor editAs="oneCell">
    <xdr:from>
      <xdr:col>13</xdr:col>
      <xdr:colOff>591704</xdr:colOff>
      <xdr:row>6</xdr:row>
      <xdr:rowOff>43295</xdr:rowOff>
    </xdr:from>
    <xdr:to>
      <xdr:col>14</xdr:col>
      <xdr:colOff>692727</xdr:colOff>
      <xdr:row>9</xdr:row>
      <xdr:rowOff>144318</xdr:rowOff>
    </xdr:to>
    <xdr:pic>
      <xdr:nvPicPr>
        <xdr:cNvPr id="23" name="Graphique 22" descr="Jauge avec un remplissage uni">
          <a:extLst>
            <a:ext uri="{FF2B5EF4-FFF2-40B4-BE49-F238E27FC236}">
              <a16:creationId xmlns:a16="http://schemas.microsoft.com/office/drawing/2014/main" id="{95F23D28-AC43-4083-8F7E-20A476FF9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679545" y="1414318"/>
          <a:ext cx="865909" cy="865909"/>
        </a:xfrm>
        <a:prstGeom prst="rect">
          <a:avLst/>
        </a:prstGeom>
      </xdr:spPr>
    </xdr:pic>
    <xdr:clientData/>
  </xdr:twoCellAnchor>
  <xdr:twoCellAnchor editAs="oneCell">
    <xdr:from>
      <xdr:col>3</xdr:col>
      <xdr:colOff>43296</xdr:colOff>
      <xdr:row>6</xdr:row>
      <xdr:rowOff>115454</xdr:rowOff>
    </xdr:from>
    <xdr:to>
      <xdr:col>4</xdr:col>
      <xdr:colOff>115456</xdr:colOff>
      <xdr:row>10</xdr:row>
      <xdr:rowOff>0</xdr:rowOff>
    </xdr:to>
    <xdr:pic>
      <xdr:nvPicPr>
        <xdr:cNvPr id="25" name="Graphique 24" descr="Argent avec un remplissage uni">
          <a:extLst>
            <a:ext uri="{FF2B5EF4-FFF2-40B4-BE49-F238E27FC236}">
              <a16:creationId xmlns:a16="http://schemas.microsoft.com/office/drawing/2014/main" id="{075D64AB-B897-46CB-BA62-10B0E82E9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337955" y="1486477"/>
          <a:ext cx="837046" cy="837046"/>
        </a:xfrm>
        <a:prstGeom prst="rect">
          <a:avLst/>
        </a:prstGeom>
      </xdr:spPr>
    </xdr:pic>
    <xdr:clientData/>
  </xdr:twoCellAnchor>
  <xdr:twoCellAnchor editAs="oneCell">
    <xdr:from>
      <xdr:col>18</xdr:col>
      <xdr:colOff>448234</xdr:colOff>
      <xdr:row>12</xdr:row>
      <xdr:rowOff>93383</xdr:rowOff>
    </xdr:from>
    <xdr:to>
      <xdr:col>21</xdr:col>
      <xdr:colOff>504265</xdr:colOff>
      <xdr:row>19</xdr:row>
      <xdr:rowOff>56029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Type_Assurance">
              <a:extLst>
                <a:ext uri="{FF2B5EF4-FFF2-40B4-BE49-F238E27FC236}">
                  <a16:creationId xmlns:a16="http://schemas.microsoft.com/office/drawing/2014/main" id="{353242E9-70DE-4399-AC43-4504075C6A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_Assur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98689" y="3291474"/>
              <a:ext cx="2342031" cy="1255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1.435926273145" createdVersion="7" refreshedVersion="7" minRefreshableVersion="3" recordCount="40" xr:uid="{006DCF8A-6976-4AB9-8308-B20681AA066F}">
  <cacheSource type="worksheet">
    <worksheetSource ref="A1:R41" sheet="Assurances_Auto"/>
  </cacheSource>
  <cacheFields count="18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/>
    </cacheField>
    <cacheField name="CIN" numFmtId="0">
      <sharedItems/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  <fieldGroup base="10">
        <rangePr groupBy="months" startDate="2025-01-01T00:00:00" endDate="2025-01-29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0">
      <sharedItems containsSemiMixedTypes="0" containsString="0" containsNumber="1" minValue="0.03" maxValue="0.06"/>
    </cacheField>
    <cacheField name="Montant_Risque" numFmtId="0">
      <sharedItems containsSemiMixedTypes="0" containsString="0" containsNumber="1" minValue="50.4" maxValue="226.79999999999998"/>
    </cacheField>
    <cacheField name="Prime_Totale" numFmtId="0">
      <sharedItems containsSemiMixedTypes="0" containsString="0" containsNumber="1" minValue="1638" maxValue="4095" count="40">
        <n v="1638"/>
        <n v="1717.2"/>
        <n v="1730.4"/>
        <n v="1827"/>
        <n v="1908"/>
        <n v="1915.8"/>
        <n v="2016"/>
        <n v="2098.8000000000002"/>
        <n v="2101.1999999999998"/>
        <n v="2205"/>
        <n v="2289.6"/>
        <n v="2286.6"/>
        <n v="2394"/>
        <n v="2480.4"/>
        <n v="2472"/>
        <n v="2583"/>
        <n v="2671.2"/>
        <n v="2657.4"/>
        <n v="2772"/>
        <n v="2862"/>
        <n v="2842.8"/>
        <n v="2961"/>
        <n v="3052.8"/>
        <n v="3028.2"/>
        <n v="3150"/>
        <n v="3243.6"/>
        <n v="3213.6"/>
        <n v="3339"/>
        <n v="3434.4"/>
        <n v="3399"/>
        <n v="3528"/>
        <n v="3625.2"/>
        <n v="3584.4"/>
        <n v="3717"/>
        <n v="3816"/>
        <n v="3769.8"/>
        <n v="3906"/>
        <n v="4006.8"/>
        <n v="3955.2"/>
        <n v="4095"/>
      </sharedItems>
    </cacheField>
    <cacheField name="Statut_Client" numFmtId="0">
      <sharedItems count="2">
        <s v="Standard"/>
        <s v="Premium"/>
      </sharedItems>
    </cacheField>
    <cacheField name="rang_prim" numFmtId="0">
      <sharedItems containsSemiMixedTypes="0" containsString="0" containsNumber="1" containsInteger="1" minValue="1" maxValue="40"/>
    </cacheField>
  </cacheFields>
  <extLst>
    <ext xmlns:x14="http://schemas.microsoft.com/office/spreadsheetml/2009/9/main" uri="{725AE2AE-9491-48be-B2B4-4EB974FC3084}">
      <x14:pivotCacheDefinition pivotCacheId="157660865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1.439454629632" createdVersion="7" refreshedVersion="7" minRefreshableVersion="3" recordCount="16" xr:uid="{81010C7F-0D75-4135-8365-32F54F5B400B}">
  <cacheSource type="worksheet">
    <worksheetSource ref="N46:N62" sheet="Assurances_Auto"/>
  </cacheSource>
  <cacheFields count="1">
    <cacheField name="les fonction " numFmtId="0">
      <sharedItems containsBlank="1" containsMixedTypes="1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s v="Youssef"/>
    <s v="AB00001"/>
    <x v="0"/>
    <x v="0"/>
    <s v="Renault"/>
    <n v="2011"/>
    <n v="93000"/>
    <x v="0"/>
    <x v="0"/>
    <n v="12"/>
    <n v="1560"/>
    <n v="0.05"/>
    <n v="78"/>
    <x v="0"/>
    <x v="0"/>
    <n v="40"/>
  </r>
  <r>
    <n v="2"/>
    <x v="1"/>
    <s v="Fatima"/>
    <s v="AB00002"/>
    <x v="0"/>
    <x v="1"/>
    <s v="Toyota"/>
    <n v="2012"/>
    <n v="96000"/>
    <x v="1"/>
    <x v="1"/>
    <n v="12"/>
    <n v="1620"/>
    <n v="0.06"/>
    <n v="97.2"/>
    <x v="1"/>
    <x v="0"/>
    <n v="39"/>
  </r>
  <r>
    <n v="3"/>
    <x v="2"/>
    <s v="Ahmed"/>
    <s v="AB00003"/>
    <x v="1"/>
    <x v="2"/>
    <s v="Hyundai"/>
    <n v="2013"/>
    <n v="99000"/>
    <x v="2"/>
    <x v="2"/>
    <n v="12"/>
    <n v="1680"/>
    <n v="0.03"/>
    <n v="50.4"/>
    <x v="2"/>
    <x v="0"/>
    <n v="38"/>
  </r>
  <r>
    <n v="4"/>
    <x v="3"/>
    <s v="Salma"/>
    <s v="AB00004"/>
    <x v="2"/>
    <x v="0"/>
    <s v="Ford"/>
    <n v="2014"/>
    <n v="102000"/>
    <x v="0"/>
    <x v="3"/>
    <n v="12"/>
    <n v="1740"/>
    <n v="0.05"/>
    <n v="87"/>
    <x v="3"/>
    <x v="0"/>
    <n v="37"/>
  </r>
  <r>
    <n v="5"/>
    <x v="4"/>
    <s v="Mohamed"/>
    <s v="AB00005"/>
    <x v="3"/>
    <x v="1"/>
    <s v="Peugeot"/>
    <n v="2015"/>
    <n v="105000"/>
    <x v="1"/>
    <x v="4"/>
    <n v="12"/>
    <n v="1800"/>
    <n v="0.06"/>
    <n v="108"/>
    <x v="4"/>
    <x v="0"/>
    <n v="36"/>
  </r>
  <r>
    <n v="6"/>
    <x v="5"/>
    <s v="Khadija"/>
    <s v="AB00006"/>
    <x v="4"/>
    <x v="2"/>
    <s v="Dacia"/>
    <n v="2016"/>
    <n v="108000"/>
    <x v="2"/>
    <x v="5"/>
    <n v="12"/>
    <n v="1860"/>
    <n v="0.03"/>
    <n v="55.8"/>
    <x v="5"/>
    <x v="0"/>
    <n v="35"/>
  </r>
  <r>
    <n v="7"/>
    <x v="6"/>
    <s v="Omar"/>
    <s v="AB00007"/>
    <x v="1"/>
    <x v="0"/>
    <s v="Renault"/>
    <n v="2017"/>
    <n v="111000"/>
    <x v="0"/>
    <x v="6"/>
    <n v="12"/>
    <n v="1920"/>
    <n v="0.05"/>
    <n v="96"/>
    <x v="6"/>
    <x v="1"/>
    <n v="34"/>
  </r>
  <r>
    <n v="8"/>
    <x v="7"/>
    <s v="Imane"/>
    <s v="AB00008"/>
    <x v="5"/>
    <x v="1"/>
    <s v="Toyota"/>
    <n v="2018"/>
    <n v="114000"/>
    <x v="1"/>
    <x v="7"/>
    <n v="12"/>
    <n v="1980"/>
    <n v="0.06"/>
    <n v="118.8"/>
    <x v="7"/>
    <x v="1"/>
    <n v="33"/>
  </r>
  <r>
    <n v="9"/>
    <x v="8"/>
    <s v="Hassan"/>
    <s v="AB00009"/>
    <x v="2"/>
    <x v="2"/>
    <s v="Hyundai"/>
    <n v="2019"/>
    <n v="117000"/>
    <x v="2"/>
    <x v="8"/>
    <n v="12"/>
    <n v="2040"/>
    <n v="0.03"/>
    <n v="61.199999999999996"/>
    <x v="8"/>
    <x v="1"/>
    <n v="32"/>
  </r>
  <r>
    <n v="10"/>
    <x v="9"/>
    <s v="Nadia"/>
    <s v="AB00010"/>
    <x v="4"/>
    <x v="0"/>
    <s v="Ford"/>
    <n v="2020"/>
    <n v="120000"/>
    <x v="0"/>
    <x v="9"/>
    <n v="12"/>
    <n v="2100"/>
    <n v="0.05"/>
    <n v="105"/>
    <x v="9"/>
    <x v="1"/>
    <n v="31"/>
  </r>
  <r>
    <n v="11"/>
    <x v="10"/>
    <s v="Abdelilah"/>
    <s v="AB00011"/>
    <x v="3"/>
    <x v="1"/>
    <s v="Peugeot"/>
    <n v="2021"/>
    <n v="123000"/>
    <x v="1"/>
    <x v="10"/>
    <n v="12"/>
    <n v="2160"/>
    <n v="0.06"/>
    <n v="129.6"/>
    <x v="10"/>
    <x v="1"/>
    <n v="29"/>
  </r>
  <r>
    <n v="12"/>
    <x v="11"/>
    <s v="Siham"/>
    <s v="AB00012"/>
    <x v="1"/>
    <x v="2"/>
    <s v="Dacia"/>
    <n v="2022"/>
    <n v="126000"/>
    <x v="2"/>
    <x v="11"/>
    <n v="12"/>
    <n v="2220"/>
    <n v="0.03"/>
    <n v="66.599999999999994"/>
    <x v="11"/>
    <x v="1"/>
    <n v="30"/>
  </r>
  <r>
    <n v="13"/>
    <x v="12"/>
    <s v="Anas"/>
    <s v="AB00013"/>
    <x v="0"/>
    <x v="0"/>
    <s v="Renault"/>
    <n v="2023"/>
    <n v="129000"/>
    <x v="0"/>
    <x v="12"/>
    <n v="12"/>
    <n v="2280"/>
    <n v="0.05"/>
    <n v="114"/>
    <x v="12"/>
    <x v="1"/>
    <n v="28"/>
  </r>
  <r>
    <n v="14"/>
    <x v="13"/>
    <s v="Soukaina"/>
    <s v="AB00014"/>
    <x v="4"/>
    <x v="1"/>
    <s v="Toyota"/>
    <n v="2010"/>
    <n v="132000"/>
    <x v="1"/>
    <x v="13"/>
    <n v="12"/>
    <n v="2340"/>
    <n v="0.06"/>
    <n v="140.4"/>
    <x v="13"/>
    <x v="1"/>
    <n v="26"/>
  </r>
  <r>
    <n v="15"/>
    <x v="14"/>
    <s v="Rachid"/>
    <s v="AB00015"/>
    <x v="3"/>
    <x v="2"/>
    <s v="Hyundai"/>
    <n v="2011"/>
    <n v="135000"/>
    <x v="2"/>
    <x v="14"/>
    <n v="12"/>
    <n v="2400"/>
    <n v="0.03"/>
    <n v="72"/>
    <x v="14"/>
    <x v="1"/>
    <n v="27"/>
  </r>
  <r>
    <n v="16"/>
    <x v="15"/>
    <s v="Sara"/>
    <s v="AB00016"/>
    <x v="2"/>
    <x v="0"/>
    <s v="Ford"/>
    <n v="2012"/>
    <n v="138000"/>
    <x v="0"/>
    <x v="15"/>
    <n v="12"/>
    <n v="2460"/>
    <n v="0.05"/>
    <n v="123"/>
    <x v="15"/>
    <x v="1"/>
    <n v="25"/>
  </r>
  <r>
    <n v="17"/>
    <x v="16"/>
    <s v="Yassine"/>
    <s v="AB00017"/>
    <x v="1"/>
    <x v="1"/>
    <s v="Peugeot"/>
    <n v="2013"/>
    <n v="141000"/>
    <x v="1"/>
    <x v="16"/>
    <n v="12"/>
    <n v="2520"/>
    <n v="0.06"/>
    <n v="151.19999999999999"/>
    <x v="16"/>
    <x v="1"/>
    <n v="23"/>
  </r>
  <r>
    <n v="18"/>
    <x v="17"/>
    <s v="Amina"/>
    <s v="AB00018"/>
    <x v="0"/>
    <x v="2"/>
    <s v="Dacia"/>
    <n v="2014"/>
    <n v="144000"/>
    <x v="2"/>
    <x v="17"/>
    <n v="12"/>
    <n v="2580"/>
    <n v="0.03"/>
    <n v="77.399999999999991"/>
    <x v="17"/>
    <x v="1"/>
    <n v="24"/>
  </r>
  <r>
    <n v="19"/>
    <x v="18"/>
    <s v="Karim"/>
    <s v="AB00019"/>
    <x v="4"/>
    <x v="0"/>
    <s v="Renault"/>
    <n v="2015"/>
    <n v="147000"/>
    <x v="0"/>
    <x v="18"/>
    <n v="12"/>
    <n v="2640"/>
    <n v="0.05"/>
    <n v="132"/>
    <x v="18"/>
    <x v="1"/>
    <n v="22"/>
  </r>
  <r>
    <n v="20"/>
    <x v="19"/>
    <s v="Latifa"/>
    <s v="AB00020"/>
    <x v="3"/>
    <x v="1"/>
    <s v="Toyota"/>
    <n v="2016"/>
    <n v="150000"/>
    <x v="1"/>
    <x v="19"/>
    <n v="12"/>
    <n v="2700"/>
    <n v="0.06"/>
    <n v="162"/>
    <x v="19"/>
    <x v="1"/>
    <n v="20"/>
  </r>
  <r>
    <n v="21"/>
    <x v="20"/>
    <s v="Ayoub"/>
    <s v="AB00021"/>
    <x v="2"/>
    <x v="2"/>
    <s v="Hyundai"/>
    <n v="2017"/>
    <n v="153000"/>
    <x v="2"/>
    <x v="20"/>
    <n v="12"/>
    <n v="2760"/>
    <n v="0.03"/>
    <n v="82.8"/>
    <x v="20"/>
    <x v="1"/>
    <n v="21"/>
  </r>
  <r>
    <n v="22"/>
    <x v="21"/>
    <s v="Hanane"/>
    <s v="AB00022"/>
    <x v="1"/>
    <x v="0"/>
    <s v="Ford"/>
    <n v="2018"/>
    <n v="156000"/>
    <x v="0"/>
    <x v="21"/>
    <n v="12"/>
    <n v="2820"/>
    <n v="0.05"/>
    <n v="141"/>
    <x v="21"/>
    <x v="1"/>
    <n v="19"/>
  </r>
  <r>
    <n v="23"/>
    <x v="22"/>
    <s v="Mehdi"/>
    <s v="AB00023"/>
    <x v="4"/>
    <x v="1"/>
    <s v="Peugeot"/>
    <n v="2019"/>
    <n v="159000"/>
    <x v="1"/>
    <x v="22"/>
    <n v="12"/>
    <n v="2880"/>
    <n v="0.06"/>
    <n v="172.79999999999998"/>
    <x v="22"/>
    <x v="1"/>
    <n v="17"/>
  </r>
  <r>
    <n v="24"/>
    <x v="23"/>
    <s v="Samir"/>
    <s v="AB00024"/>
    <x v="2"/>
    <x v="2"/>
    <s v="Dacia"/>
    <n v="2020"/>
    <n v="162000"/>
    <x v="2"/>
    <x v="23"/>
    <n v="12"/>
    <n v="2940"/>
    <n v="0.03"/>
    <n v="88.2"/>
    <x v="23"/>
    <x v="1"/>
    <n v="18"/>
  </r>
  <r>
    <n v="25"/>
    <x v="24"/>
    <s v="Meriem"/>
    <s v="AB00025"/>
    <x v="3"/>
    <x v="0"/>
    <s v="Renault"/>
    <n v="2021"/>
    <n v="165000"/>
    <x v="0"/>
    <x v="24"/>
    <n v="12"/>
    <n v="3000"/>
    <n v="0.05"/>
    <n v="150"/>
    <x v="24"/>
    <x v="1"/>
    <n v="16"/>
  </r>
  <r>
    <n v="26"/>
    <x v="25"/>
    <s v="Hamza"/>
    <s v="AB00026"/>
    <x v="0"/>
    <x v="1"/>
    <s v="Toyota"/>
    <n v="2022"/>
    <n v="168000"/>
    <x v="1"/>
    <x v="25"/>
    <n v="12"/>
    <n v="3060"/>
    <n v="0.06"/>
    <n v="183.6"/>
    <x v="25"/>
    <x v="1"/>
    <n v="14"/>
  </r>
  <r>
    <n v="27"/>
    <x v="26"/>
    <s v="Nour"/>
    <s v="AB00027"/>
    <x v="4"/>
    <x v="2"/>
    <s v="Hyundai"/>
    <n v="2023"/>
    <n v="171000"/>
    <x v="2"/>
    <x v="26"/>
    <n v="12"/>
    <n v="3120"/>
    <n v="0.03"/>
    <n v="93.6"/>
    <x v="26"/>
    <x v="1"/>
    <n v="15"/>
  </r>
  <r>
    <n v="28"/>
    <x v="27"/>
    <s v="Abdelkader"/>
    <s v="AB00028"/>
    <x v="1"/>
    <x v="0"/>
    <s v="Ford"/>
    <n v="2010"/>
    <n v="174000"/>
    <x v="0"/>
    <x v="27"/>
    <n v="12"/>
    <n v="3180"/>
    <n v="0.05"/>
    <n v="159"/>
    <x v="27"/>
    <x v="1"/>
    <n v="13"/>
  </r>
  <r>
    <n v="29"/>
    <x v="28"/>
    <s v="Lina"/>
    <s v="AB00029"/>
    <x v="2"/>
    <x v="1"/>
    <s v="Peugeot"/>
    <n v="2011"/>
    <n v="177000"/>
    <x v="1"/>
    <x v="0"/>
    <n v="12"/>
    <n v="3240"/>
    <n v="0.06"/>
    <n v="194.4"/>
    <x v="28"/>
    <x v="1"/>
    <n v="11"/>
  </r>
  <r>
    <n v="30"/>
    <x v="29"/>
    <s v="Younes"/>
    <s v="AB00030"/>
    <x v="3"/>
    <x v="2"/>
    <s v="Dacia"/>
    <n v="2012"/>
    <n v="180000"/>
    <x v="2"/>
    <x v="1"/>
    <n v="12"/>
    <n v="3300"/>
    <n v="0.03"/>
    <n v="99"/>
    <x v="29"/>
    <x v="1"/>
    <n v="12"/>
  </r>
  <r>
    <n v="31"/>
    <x v="30"/>
    <s v="Ikram"/>
    <s v="AB00031"/>
    <x v="4"/>
    <x v="0"/>
    <s v="Renault"/>
    <n v="2013"/>
    <n v="183000"/>
    <x v="0"/>
    <x v="2"/>
    <n v="12"/>
    <n v="3360"/>
    <n v="0.05"/>
    <n v="168"/>
    <x v="30"/>
    <x v="1"/>
    <n v="10"/>
  </r>
  <r>
    <n v="32"/>
    <x v="31"/>
    <s v="Said"/>
    <s v="AB00032"/>
    <x v="1"/>
    <x v="1"/>
    <s v="Toyota"/>
    <n v="2014"/>
    <n v="186000"/>
    <x v="1"/>
    <x v="3"/>
    <n v="12"/>
    <n v="3420"/>
    <n v="0.06"/>
    <n v="205.2"/>
    <x v="31"/>
    <x v="1"/>
    <n v="8"/>
  </r>
  <r>
    <n v="33"/>
    <x v="32"/>
    <s v="Rania"/>
    <s v="AB00033"/>
    <x v="2"/>
    <x v="2"/>
    <s v="Hyundai"/>
    <n v="2015"/>
    <n v="189000"/>
    <x v="2"/>
    <x v="4"/>
    <n v="12"/>
    <n v="3480"/>
    <n v="0.03"/>
    <n v="104.39999999999999"/>
    <x v="32"/>
    <x v="1"/>
    <n v="9"/>
  </r>
  <r>
    <n v="34"/>
    <x v="33"/>
    <s v="Yassir"/>
    <s v="AB00034"/>
    <x v="3"/>
    <x v="0"/>
    <s v="Ford"/>
    <n v="2016"/>
    <n v="192000"/>
    <x v="0"/>
    <x v="5"/>
    <n v="12"/>
    <n v="3540"/>
    <n v="0.05"/>
    <n v="177"/>
    <x v="33"/>
    <x v="1"/>
    <n v="7"/>
  </r>
  <r>
    <n v="35"/>
    <x v="34"/>
    <s v="Malika"/>
    <s v="AB00035"/>
    <x v="0"/>
    <x v="1"/>
    <s v="Peugeot"/>
    <n v="2017"/>
    <n v="195000"/>
    <x v="1"/>
    <x v="6"/>
    <n v="12"/>
    <n v="3600"/>
    <n v="0.06"/>
    <n v="216"/>
    <x v="34"/>
    <x v="1"/>
    <n v="5"/>
  </r>
  <r>
    <n v="36"/>
    <x v="35"/>
    <s v="Reda"/>
    <s v="AB00036"/>
    <x v="4"/>
    <x v="2"/>
    <s v="Dacia"/>
    <n v="2018"/>
    <n v="198000"/>
    <x v="2"/>
    <x v="7"/>
    <n v="12"/>
    <n v="3660"/>
    <n v="0.03"/>
    <n v="109.8"/>
    <x v="35"/>
    <x v="1"/>
    <n v="6"/>
  </r>
  <r>
    <n v="37"/>
    <x v="36"/>
    <s v="Jamal"/>
    <s v="AB00037"/>
    <x v="1"/>
    <x v="0"/>
    <s v="Renault"/>
    <n v="2019"/>
    <n v="201000"/>
    <x v="0"/>
    <x v="8"/>
    <n v="12"/>
    <n v="3720"/>
    <n v="0.05"/>
    <n v="186"/>
    <x v="36"/>
    <x v="1"/>
    <n v="4"/>
  </r>
  <r>
    <n v="38"/>
    <x v="37"/>
    <s v="Ilham"/>
    <s v="AB00038"/>
    <x v="2"/>
    <x v="1"/>
    <s v="Toyota"/>
    <n v="2020"/>
    <n v="204000"/>
    <x v="1"/>
    <x v="9"/>
    <n v="12"/>
    <n v="3780"/>
    <n v="0.06"/>
    <n v="226.79999999999998"/>
    <x v="37"/>
    <x v="1"/>
    <n v="2"/>
  </r>
  <r>
    <n v="39"/>
    <x v="38"/>
    <s v="Adil"/>
    <s v="AB00039"/>
    <x v="3"/>
    <x v="2"/>
    <s v="Hyundai"/>
    <n v="2021"/>
    <n v="207000"/>
    <x v="2"/>
    <x v="10"/>
    <n v="12"/>
    <n v="3840"/>
    <n v="0.03"/>
    <n v="115.19999999999999"/>
    <x v="38"/>
    <x v="1"/>
    <n v="3"/>
  </r>
  <r>
    <n v="40"/>
    <x v="39"/>
    <s v="Naima"/>
    <s v="AB00040"/>
    <x v="0"/>
    <x v="0"/>
    <s v="Ford"/>
    <n v="2022"/>
    <n v="210000"/>
    <x v="0"/>
    <x v="11"/>
    <n v="12"/>
    <n v="3900"/>
    <n v="0.05"/>
    <n v="195"/>
    <x v="39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m/>
  </r>
  <r>
    <m/>
  </r>
  <r>
    <s v=" Nombre de contrats Tous Risques"/>
  </r>
  <r>
    <m/>
  </r>
  <r>
    <s v="Nombre de véhicules Voiture "/>
  </r>
  <r>
    <m/>
  </r>
  <r>
    <s v="Total des primes pour la ville de Ouarzazate_x000a_ "/>
  </r>
  <r>
    <m/>
  </r>
  <r>
    <s v="Total des primes pour le type Camion _x000a_"/>
  </r>
  <r>
    <m/>
  </r>
  <r>
    <n v="2"/>
  </r>
  <r>
    <m/>
  </r>
  <r>
    <m/>
  </r>
  <r>
    <m/>
  </r>
  <r>
    <m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682BD-7331-4BDA-A0D5-85AB7508F3BF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3:B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2"/>
        <item x="0"/>
        <item h="1"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4"/>
        <item x="13"/>
        <item x="15"/>
        <item x="17"/>
        <item x="16"/>
        <item x="18"/>
        <item x="20"/>
        <item x="19"/>
        <item x="21"/>
        <item x="23"/>
        <item x="22"/>
        <item x="24"/>
        <item x="26"/>
        <item x="25"/>
        <item x="27"/>
        <item x="29"/>
        <item x="28"/>
        <item x="30"/>
        <item x="32"/>
        <item x="31"/>
        <item x="33"/>
        <item x="35"/>
        <item x="34"/>
        <item x="36"/>
        <item x="38"/>
        <item x="37"/>
        <item x="39"/>
        <item t="default"/>
      </items>
    </pivotField>
    <pivotField showAll="0"/>
    <pivotField showAll="0"/>
  </pivotFields>
  <rowFields count="1">
    <field x="9"/>
  </rowFields>
  <rowItems count="2">
    <i>
      <x v="1"/>
    </i>
    <i t="grand">
      <x/>
    </i>
  </rowItems>
  <colItems count="1">
    <i/>
  </colItems>
  <dataFields count="1">
    <dataField name="Somme de Prime_Totale" fld="1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A9676-3BAA-4004-8B6B-2CD64DBC0344}" name="Tableau croisé dynamique2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9">
  <location ref="A26:B32" firstHeaderRow="1" firstDataRow="1" firstDataCol="1"/>
  <pivotFields count="18">
    <pivotField showAll="0"/>
    <pivotField axis="axisRow" showAll="0" measureFilter="1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4"/>
        <item x="13"/>
        <item x="15"/>
        <item x="17"/>
        <item x="16"/>
        <item x="18"/>
        <item x="20"/>
        <item x="19"/>
        <item x="21"/>
        <item x="23"/>
        <item x="22"/>
        <item x="24"/>
        <item x="26"/>
        <item x="25"/>
        <item x="27"/>
        <item x="29"/>
        <item x="28"/>
        <item x="30"/>
        <item x="32"/>
        <item x="31"/>
        <item x="33"/>
        <item x="35"/>
        <item x="34"/>
        <item x="36"/>
        <item x="38"/>
        <item x="37"/>
        <item x="39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1">
    <field x="1"/>
  </rowFields>
  <rowItems count="6">
    <i>
      <x/>
    </i>
    <i>
      <x v="7"/>
    </i>
    <i>
      <x v="20"/>
    </i>
    <i>
      <x v="26"/>
    </i>
    <i>
      <x v="31"/>
    </i>
    <i t="grand">
      <x/>
    </i>
  </rowItems>
  <colItems count="1">
    <i/>
  </colItems>
  <dataFields count="1">
    <dataField name="Somme de Prime_Totale" fld="15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2E8F6-3210-456E-A9C9-55E0CA9BA92A}" name="Tableau croisé dynamique2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9" rowHeaderCaption="Mois">
  <location ref="A21:B23" firstHeaderRow="1" firstDataRow="1" firstDataCol="1"/>
  <pivotFields count="18">
    <pivotField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4"/>
        <item x="13"/>
        <item x="15"/>
        <item x="17"/>
        <item x="16"/>
        <item x="18"/>
        <item x="20"/>
        <item x="19"/>
        <item x="21"/>
        <item x="23"/>
        <item x="22"/>
        <item x="24"/>
        <item x="26"/>
        <item x="25"/>
        <item x="27"/>
        <item x="29"/>
        <item x="28"/>
        <item x="30"/>
        <item x="32"/>
        <item x="31"/>
        <item x="33"/>
        <item x="35"/>
        <item x="34"/>
        <item x="36"/>
        <item x="38"/>
        <item x="37"/>
        <item x="39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omme de Prime_Totale" fld="15" baseField="0" baseItem="0"/>
  </dataFields>
  <chartFormats count="2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4A071-5294-4EC7-861E-272F099FF387}" name="Tableau croisé dynamique16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9">
  <location ref="D14:E17" firstHeaderRow="1" firstDataRow="1" firstDataCol="1"/>
  <pivotFields count="18">
    <pivotField showAll="0"/>
    <pivotField dataField="1"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4"/>
        <item x="13"/>
        <item x="15"/>
        <item x="17"/>
        <item x="16"/>
        <item x="18"/>
        <item x="20"/>
        <item x="19"/>
        <item x="21"/>
        <item x="23"/>
        <item x="22"/>
        <item x="24"/>
        <item x="26"/>
        <item x="25"/>
        <item x="27"/>
        <item x="29"/>
        <item x="28"/>
        <item x="30"/>
        <item x="32"/>
        <item x="31"/>
        <item x="33"/>
        <item x="35"/>
        <item x="34"/>
        <item x="36"/>
        <item x="38"/>
        <item x="37"/>
        <item x="39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Nombre de Nom" fld="1" subtotal="count" baseField="0" baseItem="0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551FF-609B-4CE6-91EA-980A3B7E8335}" name="Tableau croisé dynamique9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9">
  <location ref="A14:B18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/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4"/>
        <item x="13"/>
        <item x="15"/>
        <item x="17"/>
        <item x="16"/>
        <item x="18"/>
        <item x="20"/>
        <item x="19"/>
        <item x="21"/>
        <item x="23"/>
        <item x="22"/>
        <item x="24"/>
        <item x="26"/>
        <item x="25"/>
        <item x="27"/>
        <item x="29"/>
        <item x="28"/>
        <item x="30"/>
        <item x="32"/>
        <item x="31"/>
        <item x="33"/>
        <item x="35"/>
        <item x="34"/>
        <item x="36"/>
        <item x="38"/>
        <item x="37"/>
        <item x="39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Prime_Base" fld="12" subtotal="average" baseField="5" baseItem="1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03FA9-EBEE-433C-8AF0-D38FFAE92F4E}" name="Tableau croisé dynamique8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6">
  <location ref="D3:E10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4"/>
        <item x="13"/>
        <item x="15"/>
        <item x="17"/>
        <item x="16"/>
        <item x="18"/>
        <item x="20"/>
        <item x="19"/>
        <item x="21"/>
        <item x="23"/>
        <item x="22"/>
        <item x="24"/>
        <item x="26"/>
        <item x="25"/>
        <item x="27"/>
        <item x="29"/>
        <item x="28"/>
        <item x="30"/>
        <item x="32"/>
        <item x="31"/>
        <item x="33"/>
        <item x="35"/>
        <item x="34"/>
        <item x="36"/>
        <item x="38"/>
        <item x="37"/>
        <item x="39"/>
        <item t="default"/>
      </items>
    </pivotField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ID_Client" fld="0" subtotal="count" baseField="4" baseItem="0"/>
  </dataFields>
  <chartFormats count="7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65151-A466-4137-8692-7F5BD3470658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376FA833-B757-49AF-B59A-3713A5CEE75B}" sourceName="Ville">
  <pivotTables>
    <pivotTable tabId="2" name="Tableau croisé dynamique8"/>
  </pivotTables>
  <data>
    <tabular pivotCacheId="1576608655">
      <items count="6">
        <i x="4" s="1"/>
        <i x="3" s="1"/>
        <i x="5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ype_Assurance" xr10:uid="{5620E855-8B85-4079-99D9-BE68BFE994F7}" sourceName="Type_Assurance">
  <pivotTables>
    <pivotTable tabId="2" name="Tableau croisé dynamique1"/>
  </pivotTables>
  <data>
    <tabular pivotCacheId="1576608655">
      <items count="3">
        <i x="2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" xr10:uid="{C696208F-D0FD-463B-B322-A448991276FE}" cache="Segment_Ville" caption="Ville" style="SlicerStyleLight4" rowHeight="241300"/>
  <slicer name="Type_Assurance" xr10:uid="{4BB5B18E-2C05-4F13-9CDD-ABA00729A7D5}" cache="Segment_Type_Assurance" caption="Type_Assurance" style="SlicerStyleDark4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BF3B-1DAE-4506-89E4-8D5E31F93FBE}">
  <dimension ref="A3:E32"/>
  <sheetViews>
    <sheetView workbookViewId="0">
      <selection activeCell="D21" sqref="D21:E24"/>
    </sheetView>
  </sheetViews>
  <sheetFormatPr baseColWidth="10" defaultRowHeight="14.5" x14ac:dyDescent="0.35"/>
  <cols>
    <col min="1" max="1" width="19.54296875" bestFit="1" customWidth="1"/>
    <col min="2" max="3" width="21.453125" bestFit="1" customWidth="1"/>
    <col min="4" max="4" width="19.54296875" bestFit="1" customWidth="1"/>
    <col min="5" max="5" width="18.36328125" bestFit="1" customWidth="1"/>
    <col min="6" max="6" width="26.26953125" bestFit="1" customWidth="1"/>
  </cols>
  <sheetData>
    <row r="3" spans="1:5" x14ac:dyDescent="0.35">
      <c r="A3" s="20" t="s">
        <v>163</v>
      </c>
      <c r="B3" t="s">
        <v>165</v>
      </c>
      <c r="D3" s="20" t="s">
        <v>163</v>
      </c>
      <c r="E3" t="s">
        <v>167</v>
      </c>
    </row>
    <row r="4" spans="1:5" x14ac:dyDescent="0.35">
      <c r="A4" s="4" t="s">
        <v>23</v>
      </c>
      <c r="B4" s="21">
        <v>40131</v>
      </c>
      <c r="D4" s="4" t="s">
        <v>50</v>
      </c>
      <c r="E4" s="21">
        <v>8</v>
      </c>
    </row>
    <row r="5" spans="1:5" x14ac:dyDescent="0.35">
      <c r="A5" s="4" t="s">
        <v>164</v>
      </c>
      <c r="B5" s="21">
        <v>40131</v>
      </c>
      <c r="D5" s="4" t="s">
        <v>45</v>
      </c>
      <c r="E5" s="21">
        <v>8</v>
      </c>
    </row>
    <row r="6" spans="1:5" x14ac:dyDescent="0.35">
      <c r="D6" s="4" t="s">
        <v>58</v>
      </c>
      <c r="E6" s="21">
        <v>1</v>
      </c>
    </row>
    <row r="7" spans="1:5" x14ac:dyDescent="0.35">
      <c r="D7" s="4" t="s">
        <v>33</v>
      </c>
      <c r="E7" s="21">
        <v>8</v>
      </c>
    </row>
    <row r="8" spans="1:5" x14ac:dyDescent="0.35">
      <c r="D8" s="4" t="s">
        <v>20</v>
      </c>
      <c r="E8" s="21">
        <v>7</v>
      </c>
    </row>
    <row r="9" spans="1:5" x14ac:dyDescent="0.35">
      <c r="D9" s="4" t="s">
        <v>40</v>
      </c>
      <c r="E9" s="21">
        <v>8</v>
      </c>
    </row>
    <row r="10" spans="1:5" x14ac:dyDescent="0.35">
      <c r="D10" s="4" t="s">
        <v>164</v>
      </c>
      <c r="E10" s="21">
        <v>40</v>
      </c>
    </row>
    <row r="14" spans="1:5" x14ac:dyDescent="0.35">
      <c r="A14" s="20" t="s">
        <v>163</v>
      </c>
      <c r="B14" t="s">
        <v>168</v>
      </c>
      <c r="D14" s="20" t="s">
        <v>163</v>
      </c>
      <c r="E14" t="s">
        <v>169</v>
      </c>
    </row>
    <row r="15" spans="1:5" x14ac:dyDescent="0.35">
      <c r="A15" s="4" t="s">
        <v>27</v>
      </c>
      <c r="B15" s="21">
        <v>2700</v>
      </c>
      <c r="D15" s="4" t="s">
        <v>170</v>
      </c>
      <c r="E15" s="21">
        <v>34</v>
      </c>
    </row>
    <row r="16" spans="1:5" x14ac:dyDescent="0.35">
      <c r="A16" s="4" t="s">
        <v>21</v>
      </c>
      <c r="B16" s="21">
        <v>2730</v>
      </c>
      <c r="D16" s="4" t="s">
        <v>171</v>
      </c>
      <c r="E16" s="21">
        <v>6</v>
      </c>
    </row>
    <row r="17" spans="1:5" x14ac:dyDescent="0.35">
      <c r="A17" s="4" t="s">
        <v>34</v>
      </c>
      <c r="B17" s="21">
        <v>2760</v>
      </c>
      <c r="D17" s="4" t="s">
        <v>164</v>
      </c>
      <c r="E17" s="21">
        <v>40</v>
      </c>
    </row>
    <row r="18" spans="1:5" x14ac:dyDescent="0.35">
      <c r="A18" s="4" t="s">
        <v>164</v>
      </c>
      <c r="B18" s="21">
        <v>2730</v>
      </c>
    </row>
    <row r="21" spans="1:5" x14ac:dyDescent="0.35">
      <c r="A21" s="20" t="s">
        <v>173</v>
      </c>
      <c r="B21" t="s">
        <v>165</v>
      </c>
    </row>
    <row r="22" spans="1:5" x14ac:dyDescent="0.35">
      <c r="A22" s="22" t="s">
        <v>172</v>
      </c>
      <c r="B22" s="21">
        <v>114293.4</v>
      </c>
    </row>
    <row r="23" spans="1:5" x14ac:dyDescent="0.35">
      <c r="A23" s="22" t="s">
        <v>164</v>
      </c>
      <c r="B23" s="21">
        <v>114293.4</v>
      </c>
    </row>
    <row r="26" spans="1:5" x14ac:dyDescent="0.35">
      <c r="A26" s="20" t="s">
        <v>163</v>
      </c>
      <c r="B26" t="s">
        <v>165</v>
      </c>
    </row>
    <row r="27" spans="1:5" x14ac:dyDescent="0.35">
      <c r="A27" s="4" t="s">
        <v>152</v>
      </c>
      <c r="B27" s="21">
        <v>4095</v>
      </c>
    </row>
    <row r="28" spans="1:5" x14ac:dyDescent="0.35">
      <c r="A28" s="4" t="s">
        <v>149</v>
      </c>
      <c r="B28" s="21">
        <v>3955.2</v>
      </c>
    </row>
    <row r="29" spans="1:5" x14ac:dyDescent="0.35">
      <c r="A29" s="4" t="s">
        <v>143</v>
      </c>
      <c r="B29" s="21">
        <v>3906</v>
      </c>
    </row>
    <row r="30" spans="1:5" x14ac:dyDescent="0.35">
      <c r="A30" s="4" t="s">
        <v>146</v>
      </c>
      <c r="B30" s="21">
        <v>4006.8</v>
      </c>
    </row>
    <row r="31" spans="1:5" x14ac:dyDescent="0.35">
      <c r="A31" s="4" t="s">
        <v>137</v>
      </c>
      <c r="B31" s="21">
        <v>3816</v>
      </c>
    </row>
    <row r="32" spans="1:5" x14ac:dyDescent="0.35">
      <c r="A32" s="4" t="s">
        <v>164</v>
      </c>
      <c r="B32" s="21">
        <v>19779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071E-1403-4DE5-B73F-50BFA358802E}">
  <dimension ref="A1:V82"/>
  <sheetViews>
    <sheetView zoomScale="55" zoomScaleNormal="35" workbookViewId="0">
      <selection activeCell="X5" sqref="X5"/>
    </sheetView>
  </sheetViews>
  <sheetFormatPr baseColWidth="10" defaultRowHeight="14.5" x14ac:dyDescent="0.35"/>
  <cols>
    <col min="2" max="2" width="0.6328125" customWidth="1"/>
    <col min="6" max="6" width="17.26953125" customWidth="1"/>
  </cols>
  <sheetData>
    <row r="1" spans="1:22" ht="55.5" customHeight="1" x14ac:dyDescent="0.35">
      <c r="A1" s="26" t="s">
        <v>166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4.5" customHeight="1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ht="22.5" customHeight="1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ht="26" customHeight="1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 x14ac:dyDescent="0.3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x14ac:dyDescent="0.3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22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2" ht="31" x14ac:dyDescent="0.7">
      <c r="A9" s="23"/>
      <c r="B9" s="23"/>
      <c r="C9" s="23"/>
      <c r="D9" s="23"/>
      <c r="E9" s="23"/>
      <c r="F9" s="24">
        <v>18600</v>
      </c>
      <c r="G9" s="23"/>
      <c r="H9" s="23"/>
      <c r="I9" s="23"/>
      <c r="J9" s="23"/>
      <c r="K9" s="24">
        <v>13</v>
      </c>
      <c r="L9" s="23"/>
      <c r="M9" s="23"/>
      <c r="N9" s="23"/>
      <c r="O9" s="23"/>
      <c r="P9" s="23"/>
      <c r="Q9" s="24">
        <v>13</v>
      </c>
      <c r="R9" s="23"/>
      <c r="S9" s="23"/>
      <c r="T9" s="23"/>
      <c r="U9" s="23"/>
      <c r="V9" s="23"/>
    </row>
    <row r="10" spans="1:22" x14ac:dyDescent="0.3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2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spans="1:22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spans="1:22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1:22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1:22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1:22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1:22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2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spans="1:22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spans="1:22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1:22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1:22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1:22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spans="1:22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spans="1:22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1:22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spans="1:22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spans="1:22" x14ac:dyDescent="0.3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spans="1:22" x14ac:dyDescent="0.3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spans="1:22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1:22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1:22" x14ac:dyDescent="0.3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spans="1:22" x14ac:dyDescent="0.3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1:22" x14ac:dyDescent="0.35">
      <c r="A44" s="25"/>
      <c r="B44" s="2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1:22" x14ac:dyDescent="0.35">
      <c r="A45" s="25"/>
      <c r="B45" s="25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spans="1:22" x14ac:dyDescent="0.35">
      <c r="A46" s="25"/>
      <c r="B46" s="25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1:22" x14ac:dyDescent="0.35">
      <c r="A47" s="25"/>
      <c r="B47" s="25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spans="1:22" x14ac:dyDescent="0.35">
      <c r="A48" s="25"/>
      <c r="B48" s="25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spans="1:22" x14ac:dyDescent="0.35">
      <c r="A49" s="25"/>
      <c r="B49" s="25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1:22" x14ac:dyDescent="0.35">
      <c r="A50" s="25"/>
      <c r="B50" s="25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spans="1:22" x14ac:dyDescent="0.35">
      <c r="A51" s="25"/>
      <c r="B51" s="2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spans="1:22" x14ac:dyDescent="0.35">
      <c r="A52" s="25"/>
      <c r="B52" s="25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spans="1:22" x14ac:dyDescent="0.35">
      <c r="A53" s="25"/>
      <c r="B53" s="25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spans="1:22" x14ac:dyDescent="0.35">
      <c r="A54" s="25"/>
      <c r="B54" s="25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spans="1:22" x14ac:dyDescent="0.3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spans="1:22" x14ac:dyDescent="0.3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spans="1:22" x14ac:dyDescent="0.3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spans="1:22" x14ac:dyDescent="0.3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spans="1:22" x14ac:dyDescent="0.3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spans="1:22" x14ac:dyDescent="0.3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spans="1:22" x14ac:dyDescent="0.3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spans="1:22" x14ac:dyDescent="0.3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spans="1:22" x14ac:dyDescent="0.3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spans="1:22" x14ac:dyDescent="0.3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spans="1:22" x14ac:dyDescent="0.3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spans="1:22" x14ac:dyDescent="0.3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spans="1:22" x14ac:dyDescent="0.3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spans="1:22" x14ac:dyDescent="0.3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spans="1:22" x14ac:dyDescent="0.3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spans="1:22" x14ac:dyDescent="0.3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spans="1:22" x14ac:dyDescent="0.3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spans="1:22" x14ac:dyDescent="0.3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spans="1:22" x14ac:dyDescent="0.3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spans="1:22" x14ac:dyDescent="0.3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spans="1:22" x14ac:dyDescent="0.3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spans="1:22" x14ac:dyDescent="0.3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spans="1:22" x14ac:dyDescent="0.3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spans="1:22" x14ac:dyDescent="0.3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spans="1:22" x14ac:dyDescent="0.3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spans="1:22" x14ac:dyDescent="0.3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 x14ac:dyDescent="0.3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 x14ac:dyDescent="0.3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</sheetData>
  <mergeCells count="1">
    <mergeCell ref="A1:V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5C0-CFC7-424A-9834-9FEDE4AC1016}">
  <dimension ref="A3:C20"/>
  <sheetViews>
    <sheetView workbookViewId="0">
      <selection activeCell="A3" sqref="A3"/>
    </sheetView>
  </sheetViews>
  <sheetFormatPr baseColWidth="10" defaultRowHeight="14.5" x14ac:dyDescent="0.35"/>
  <sheetData>
    <row r="3" spans="1:3" x14ac:dyDescent="0.35">
      <c r="A3" s="11"/>
      <c r="B3" s="12"/>
      <c r="C3" s="13"/>
    </row>
    <row r="4" spans="1:3" x14ac:dyDescent="0.35">
      <c r="A4" s="14"/>
      <c r="B4" s="15"/>
      <c r="C4" s="16"/>
    </row>
    <row r="5" spans="1:3" x14ac:dyDescent="0.35">
      <c r="A5" s="14"/>
      <c r="B5" s="15"/>
      <c r="C5" s="16"/>
    </row>
    <row r="6" spans="1:3" x14ac:dyDescent="0.35">
      <c r="A6" s="14"/>
      <c r="B6" s="15"/>
      <c r="C6" s="16"/>
    </row>
    <row r="7" spans="1:3" x14ac:dyDescent="0.35">
      <c r="A7" s="14"/>
      <c r="B7" s="15"/>
      <c r="C7" s="16"/>
    </row>
    <row r="8" spans="1:3" x14ac:dyDescent="0.35">
      <c r="A8" s="14"/>
      <c r="B8" s="15"/>
      <c r="C8" s="16"/>
    </row>
    <row r="9" spans="1:3" x14ac:dyDescent="0.35">
      <c r="A9" s="14"/>
      <c r="B9" s="15"/>
      <c r="C9" s="16"/>
    </row>
    <row r="10" spans="1:3" x14ac:dyDescent="0.35">
      <c r="A10" s="14"/>
      <c r="B10" s="15"/>
      <c r="C10" s="16"/>
    </row>
    <row r="11" spans="1:3" x14ac:dyDescent="0.35">
      <c r="A11" s="14"/>
      <c r="B11" s="15"/>
      <c r="C11" s="16"/>
    </row>
    <row r="12" spans="1:3" x14ac:dyDescent="0.35">
      <c r="A12" s="14"/>
      <c r="B12" s="15"/>
      <c r="C12" s="16"/>
    </row>
    <row r="13" spans="1:3" x14ac:dyDescent="0.35">
      <c r="A13" s="14"/>
      <c r="B13" s="15"/>
      <c r="C13" s="16"/>
    </row>
    <row r="14" spans="1:3" x14ac:dyDescent="0.35">
      <c r="A14" s="14"/>
      <c r="B14" s="15"/>
      <c r="C14" s="16"/>
    </row>
    <row r="15" spans="1:3" x14ac:dyDescent="0.35">
      <c r="A15" s="14"/>
      <c r="B15" s="15"/>
      <c r="C15" s="16"/>
    </row>
    <row r="16" spans="1:3" x14ac:dyDescent="0.35">
      <c r="A16" s="14"/>
      <c r="B16" s="15"/>
      <c r="C16" s="16"/>
    </row>
    <row r="17" spans="1:3" x14ac:dyDescent="0.35">
      <c r="A17" s="14"/>
      <c r="B17" s="15"/>
      <c r="C17" s="16"/>
    </row>
    <row r="18" spans="1:3" x14ac:dyDescent="0.35">
      <c r="A18" s="14"/>
      <c r="B18" s="15"/>
      <c r="C18" s="16"/>
    </row>
    <row r="19" spans="1:3" x14ac:dyDescent="0.35">
      <c r="A19" s="14"/>
      <c r="B19" s="15"/>
      <c r="C19" s="16"/>
    </row>
    <row r="20" spans="1:3" x14ac:dyDescent="0.35">
      <c r="A20" s="17"/>
      <c r="B20" s="18"/>
      <c r="C20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tabSelected="1" topLeftCell="A33" zoomScale="60" zoomScaleNormal="55" workbookViewId="0">
      <selection activeCell="N63" sqref="N63"/>
    </sheetView>
  </sheetViews>
  <sheetFormatPr baseColWidth="10" defaultColWidth="8.90625" defaultRowHeight="14.5" x14ac:dyDescent="0.35"/>
  <cols>
    <col min="1" max="1" width="8.453125" bestFit="1" customWidth="1"/>
    <col min="2" max="2" width="11.6328125" style="4" bestFit="1" customWidth="1"/>
    <col min="3" max="3" width="10.08984375" style="4" bestFit="1" customWidth="1"/>
    <col min="4" max="4" width="8.1796875" style="4" bestFit="1" customWidth="1"/>
    <col min="5" max="5" width="10.1796875" style="4" bestFit="1" customWidth="1"/>
    <col min="6" max="6" width="12.81640625" style="4" bestFit="1" customWidth="1"/>
    <col min="7" max="7" width="7.6328125" style="4" bestFit="1" customWidth="1"/>
    <col min="8" max="8" width="14" bestFit="1" customWidth="1"/>
    <col min="9" max="10" width="14.08984375" bestFit="1" customWidth="1"/>
    <col min="11" max="11" width="15.90625" bestFit="1" customWidth="1"/>
    <col min="12" max="12" width="5.90625" bestFit="1" customWidth="1"/>
    <col min="13" max="13" width="10.54296875" bestFit="1" customWidth="1"/>
    <col min="14" max="14" width="11.1796875" bestFit="1" customWidth="1"/>
    <col min="15" max="15" width="14.453125" bestFit="1" customWidth="1"/>
    <col min="16" max="16" width="11.90625" bestFit="1" customWidth="1"/>
    <col min="17" max="17" width="11.54296875" bestFit="1" customWidth="1"/>
    <col min="18" max="18" width="10.90625" customWidth="1"/>
    <col min="19" max="19" width="30.54296875" customWidth="1"/>
    <col min="20" max="20" width="37.54296875" customWidth="1"/>
  </cols>
  <sheetData>
    <row r="1" spans="1:23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 t="s">
        <v>155</v>
      </c>
      <c r="S1" s="10"/>
      <c r="U1" s="4"/>
      <c r="V1" s="4"/>
      <c r="W1" s="4"/>
    </row>
    <row r="2" spans="1:23" x14ac:dyDescent="0.35">
      <c r="A2" s="1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>
        <v>2011</v>
      </c>
      <c r="I2" s="1">
        <v>93000</v>
      </c>
      <c r="J2" s="1" t="s">
        <v>23</v>
      </c>
      <c r="K2" s="2">
        <v>45659</v>
      </c>
      <c r="L2" s="1">
        <v>12</v>
      </c>
      <c r="M2" s="1">
        <v>1560</v>
      </c>
      <c r="N2" s="1">
        <f>IF(F2="Moto",5%,IF(F2="Voiture",3%,IF(F2="Camion",6%,"")))</f>
        <v>0.05</v>
      </c>
      <c r="O2" s="1">
        <f>M2*N2</f>
        <v>78</v>
      </c>
      <c r="P2" s="1">
        <f>M2+O2</f>
        <v>1638</v>
      </c>
      <c r="Q2" s="1" t="str">
        <f>IF(P2&lt;2000,"Standard",IF(P2&lt;5000,"Premium","VIP"))</f>
        <v>Standard</v>
      </c>
      <c r="R2" s="8">
        <f>RANK(P2,$P$2:$P$100,0)</f>
        <v>40</v>
      </c>
      <c r="T2" s="4"/>
      <c r="U2" s="4"/>
      <c r="V2" s="4"/>
      <c r="W2" s="4"/>
    </row>
    <row r="3" spans="1:23" x14ac:dyDescent="0.35">
      <c r="A3" s="1">
        <v>2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28</v>
      </c>
      <c r="H3" s="1">
        <v>2012</v>
      </c>
      <c r="I3" s="1">
        <v>96000</v>
      </c>
      <c r="J3" s="1" t="s">
        <v>29</v>
      </c>
      <c r="K3" s="2">
        <v>45660</v>
      </c>
      <c r="L3" s="1">
        <v>12</v>
      </c>
      <c r="M3" s="1">
        <v>1620</v>
      </c>
      <c r="N3" s="1">
        <f t="shared" ref="N3:N41" si="0">IF(F3="Moto",5%,IF(F3="Voiture",3%,IF(F3="Camion",6%,"")))</f>
        <v>0.06</v>
      </c>
      <c r="O3" s="1">
        <f t="shared" ref="O3:O41" si="1">M3*N3</f>
        <v>97.2</v>
      </c>
      <c r="P3" s="1">
        <f t="shared" ref="P3:P41" si="2">M3+O3</f>
        <v>1717.2</v>
      </c>
      <c r="Q3" s="1" t="str">
        <f t="shared" ref="Q3:Q41" si="3">IF(P3&lt;2000,"Standard",IF(P3&lt;5000,"Premium","VIP"))</f>
        <v>Standard</v>
      </c>
      <c r="R3" s="8">
        <f t="shared" ref="R3:R40" si="4">RANK(P3,$P$2:$P$100,0)</f>
        <v>39</v>
      </c>
    </row>
    <row r="4" spans="1:23" x14ac:dyDescent="0.35">
      <c r="A4" s="1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1">
        <v>2013</v>
      </c>
      <c r="I4" s="1">
        <v>99000</v>
      </c>
      <c r="J4" s="1" t="s">
        <v>36</v>
      </c>
      <c r="K4" s="2">
        <v>45661</v>
      </c>
      <c r="L4" s="1">
        <v>12</v>
      </c>
      <c r="M4" s="1">
        <v>1680</v>
      </c>
      <c r="N4" s="1">
        <f t="shared" si="0"/>
        <v>0.03</v>
      </c>
      <c r="O4" s="1">
        <f t="shared" si="1"/>
        <v>50.4</v>
      </c>
      <c r="P4" s="1">
        <f t="shared" si="2"/>
        <v>1730.4</v>
      </c>
      <c r="Q4" s="1" t="str">
        <f t="shared" si="3"/>
        <v>Standard</v>
      </c>
      <c r="R4" s="8">
        <f t="shared" si="4"/>
        <v>38</v>
      </c>
    </row>
    <row r="5" spans="1:23" x14ac:dyDescent="0.35">
      <c r="A5" s="1">
        <v>4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21</v>
      </c>
      <c r="G5" s="3" t="s">
        <v>41</v>
      </c>
      <c r="H5" s="1">
        <v>2014</v>
      </c>
      <c r="I5" s="1">
        <v>102000</v>
      </c>
      <c r="J5" s="1" t="s">
        <v>23</v>
      </c>
      <c r="K5" s="2">
        <v>45662</v>
      </c>
      <c r="L5" s="1">
        <v>12</v>
      </c>
      <c r="M5" s="1">
        <v>1740</v>
      </c>
      <c r="N5" s="1">
        <f t="shared" si="0"/>
        <v>0.05</v>
      </c>
      <c r="O5" s="1">
        <f t="shared" si="1"/>
        <v>87</v>
      </c>
      <c r="P5" s="1">
        <f t="shared" si="2"/>
        <v>1827</v>
      </c>
      <c r="Q5" s="1" t="str">
        <f t="shared" si="3"/>
        <v>Standard</v>
      </c>
      <c r="R5" s="8">
        <f t="shared" si="4"/>
        <v>37</v>
      </c>
    </row>
    <row r="6" spans="1:23" x14ac:dyDescent="0.35">
      <c r="A6" s="1">
        <v>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27</v>
      </c>
      <c r="G6" s="3" t="s">
        <v>46</v>
      </c>
      <c r="H6" s="1">
        <v>2015</v>
      </c>
      <c r="I6" s="1">
        <v>105000</v>
      </c>
      <c r="J6" s="1" t="s">
        <v>29</v>
      </c>
      <c r="K6" s="2">
        <v>45663</v>
      </c>
      <c r="L6" s="1">
        <v>12</v>
      </c>
      <c r="M6" s="1">
        <v>1800</v>
      </c>
      <c r="N6" s="1">
        <f t="shared" si="0"/>
        <v>0.06</v>
      </c>
      <c r="O6" s="1">
        <f t="shared" si="1"/>
        <v>108</v>
      </c>
      <c r="P6" s="1">
        <f t="shared" si="2"/>
        <v>1908</v>
      </c>
      <c r="Q6" s="1" t="str">
        <f t="shared" si="3"/>
        <v>Standard</v>
      </c>
      <c r="R6" s="8">
        <f t="shared" si="4"/>
        <v>36</v>
      </c>
    </row>
    <row r="7" spans="1:23" x14ac:dyDescent="0.35">
      <c r="A7" s="1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51</v>
      </c>
      <c r="H7" s="1">
        <v>2016</v>
      </c>
      <c r="I7" s="1">
        <v>108000</v>
      </c>
      <c r="J7" s="1" t="s">
        <v>36</v>
      </c>
      <c r="K7" s="2">
        <v>45664</v>
      </c>
      <c r="L7" s="1">
        <v>12</v>
      </c>
      <c r="M7" s="1">
        <v>1860</v>
      </c>
      <c r="N7" s="1">
        <f t="shared" si="0"/>
        <v>0.03</v>
      </c>
      <c r="O7" s="1">
        <f t="shared" si="1"/>
        <v>55.8</v>
      </c>
      <c r="P7" s="1">
        <f t="shared" si="2"/>
        <v>1915.8</v>
      </c>
      <c r="Q7" s="1" t="str">
        <f t="shared" si="3"/>
        <v>Standard</v>
      </c>
      <c r="R7" s="8">
        <f t="shared" si="4"/>
        <v>35</v>
      </c>
    </row>
    <row r="8" spans="1:23" x14ac:dyDescent="0.35">
      <c r="A8" s="1">
        <v>7</v>
      </c>
      <c r="B8" s="3" t="s">
        <v>52</v>
      </c>
      <c r="C8" s="3" t="s">
        <v>53</v>
      </c>
      <c r="D8" s="3" t="s">
        <v>54</v>
      </c>
      <c r="E8" s="3" t="s">
        <v>33</v>
      </c>
      <c r="F8" s="3" t="s">
        <v>21</v>
      </c>
      <c r="G8" s="3" t="s">
        <v>22</v>
      </c>
      <c r="H8" s="1">
        <v>2017</v>
      </c>
      <c r="I8" s="1">
        <v>111000</v>
      </c>
      <c r="J8" s="1" t="s">
        <v>23</v>
      </c>
      <c r="K8" s="2">
        <v>45665</v>
      </c>
      <c r="L8" s="1">
        <v>12</v>
      </c>
      <c r="M8" s="1">
        <v>1920</v>
      </c>
      <c r="N8" s="1">
        <f t="shared" si="0"/>
        <v>0.05</v>
      </c>
      <c r="O8" s="1">
        <f t="shared" si="1"/>
        <v>96</v>
      </c>
      <c r="P8" s="1">
        <f t="shared" si="2"/>
        <v>2016</v>
      </c>
      <c r="Q8" s="1" t="str">
        <f t="shared" si="3"/>
        <v>Premium</v>
      </c>
      <c r="R8" s="8">
        <f t="shared" si="4"/>
        <v>34</v>
      </c>
    </row>
    <row r="9" spans="1:23" x14ac:dyDescent="0.35">
      <c r="A9" s="1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27</v>
      </c>
      <c r="G9" s="3" t="s">
        <v>28</v>
      </c>
      <c r="H9" s="1">
        <v>2018</v>
      </c>
      <c r="I9" s="1">
        <v>114000</v>
      </c>
      <c r="J9" s="1" t="s">
        <v>29</v>
      </c>
      <c r="K9" s="2">
        <v>45666</v>
      </c>
      <c r="L9" s="1">
        <v>12</v>
      </c>
      <c r="M9" s="1">
        <v>1980</v>
      </c>
      <c r="N9" s="1">
        <f t="shared" si="0"/>
        <v>0.06</v>
      </c>
      <c r="O9" s="1">
        <f t="shared" si="1"/>
        <v>118.8</v>
      </c>
      <c r="P9" s="1">
        <f t="shared" si="2"/>
        <v>2098.8000000000002</v>
      </c>
      <c r="Q9" s="1" t="str">
        <f t="shared" si="3"/>
        <v>Premium</v>
      </c>
      <c r="R9" s="8">
        <f t="shared" si="4"/>
        <v>33</v>
      </c>
    </row>
    <row r="10" spans="1:23" x14ac:dyDescent="0.35">
      <c r="A10" s="1">
        <v>9</v>
      </c>
      <c r="B10" s="3" t="s">
        <v>59</v>
      </c>
      <c r="C10" s="3" t="s">
        <v>60</v>
      </c>
      <c r="D10" s="3" t="s">
        <v>61</v>
      </c>
      <c r="E10" s="3" t="s">
        <v>40</v>
      </c>
      <c r="F10" s="3" t="s">
        <v>34</v>
      </c>
      <c r="G10" s="3" t="s">
        <v>35</v>
      </c>
      <c r="H10" s="1">
        <v>2019</v>
      </c>
      <c r="I10" s="1">
        <v>117000</v>
      </c>
      <c r="J10" s="1" t="s">
        <v>36</v>
      </c>
      <c r="K10" s="2">
        <v>45667</v>
      </c>
      <c r="L10" s="1">
        <v>12</v>
      </c>
      <c r="M10" s="1">
        <v>2040</v>
      </c>
      <c r="N10" s="1">
        <f t="shared" si="0"/>
        <v>0.03</v>
      </c>
      <c r="O10" s="1">
        <f t="shared" si="1"/>
        <v>61.199999999999996</v>
      </c>
      <c r="P10" s="1">
        <f t="shared" si="2"/>
        <v>2101.1999999999998</v>
      </c>
      <c r="Q10" s="1" t="str">
        <f t="shared" si="3"/>
        <v>Premium</v>
      </c>
      <c r="R10" s="8">
        <f t="shared" si="4"/>
        <v>32</v>
      </c>
    </row>
    <row r="11" spans="1:23" x14ac:dyDescent="0.35">
      <c r="A11" s="1">
        <v>10</v>
      </c>
      <c r="B11" s="3" t="s">
        <v>62</v>
      </c>
      <c r="C11" s="3" t="s">
        <v>63</v>
      </c>
      <c r="D11" s="3" t="s">
        <v>64</v>
      </c>
      <c r="E11" s="3" t="s">
        <v>50</v>
      </c>
      <c r="F11" s="3" t="s">
        <v>21</v>
      </c>
      <c r="G11" s="3" t="s">
        <v>41</v>
      </c>
      <c r="H11" s="1">
        <v>2020</v>
      </c>
      <c r="I11" s="1">
        <v>120000</v>
      </c>
      <c r="J11" s="1" t="s">
        <v>23</v>
      </c>
      <c r="K11" s="2">
        <v>45668</v>
      </c>
      <c r="L11" s="1">
        <v>12</v>
      </c>
      <c r="M11" s="1">
        <v>2100</v>
      </c>
      <c r="N11" s="1">
        <f t="shared" si="0"/>
        <v>0.05</v>
      </c>
      <c r="O11" s="1">
        <f t="shared" si="1"/>
        <v>105</v>
      </c>
      <c r="P11" s="1">
        <f t="shared" si="2"/>
        <v>2205</v>
      </c>
      <c r="Q11" s="1" t="str">
        <f t="shared" si="3"/>
        <v>Premium</v>
      </c>
      <c r="R11" s="8">
        <f t="shared" si="4"/>
        <v>31</v>
      </c>
    </row>
    <row r="12" spans="1:23" x14ac:dyDescent="0.35">
      <c r="A12" s="1">
        <v>11</v>
      </c>
      <c r="B12" s="3" t="s">
        <v>65</v>
      </c>
      <c r="C12" s="3" t="s">
        <v>66</v>
      </c>
      <c r="D12" s="3" t="s">
        <v>67</v>
      </c>
      <c r="E12" s="3" t="s">
        <v>45</v>
      </c>
      <c r="F12" s="3" t="s">
        <v>27</v>
      </c>
      <c r="G12" s="3" t="s">
        <v>46</v>
      </c>
      <c r="H12" s="1">
        <v>2021</v>
      </c>
      <c r="I12" s="1">
        <v>123000</v>
      </c>
      <c r="J12" s="1" t="s">
        <v>29</v>
      </c>
      <c r="K12" s="2">
        <v>45669</v>
      </c>
      <c r="L12" s="1">
        <v>12</v>
      </c>
      <c r="M12" s="1">
        <v>2160</v>
      </c>
      <c r="N12" s="1">
        <f t="shared" si="0"/>
        <v>0.06</v>
      </c>
      <c r="O12" s="1">
        <f t="shared" si="1"/>
        <v>129.6</v>
      </c>
      <c r="P12" s="1">
        <f t="shared" si="2"/>
        <v>2289.6</v>
      </c>
      <c r="Q12" s="1" t="str">
        <f t="shared" si="3"/>
        <v>Premium</v>
      </c>
      <c r="R12" s="8">
        <f t="shared" si="4"/>
        <v>29</v>
      </c>
    </row>
    <row r="13" spans="1:23" x14ac:dyDescent="0.35">
      <c r="A13" s="1">
        <v>12</v>
      </c>
      <c r="B13" s="3" t="s">
        <v>68</v>
      </c>
      <c r="C13" s="3" t="s">
        <v>69</v>
      </c>
      <c r="D13" s="3" t="s">
        <v>70</v>
      </c>
      <c r="E13" s="3" t="s">
        <v>33</v>
      </c>
      <c r="F13" s="3" t="s">
        <v>34</v>
      </c>
      <c r="G13" s="3" t="s">
        <v>51</v>
      </c>
      <c r="H13" s="1">
        <v>2022</v>
      </c>
      <c r="I13" s="1">
        <v>126000</v>
      </c>
      <c r="J13" s="1" t="s">
        <v>36</v>
      </c>
      <c r="K13" s="2">
        <v>45670</v>
      </c>
      <c r="L13" s="1">
        <v>12</v>
      </c>
      <c r="M13" s="1">
        <v>2220</v>
      </c>
      <c r="N13" s="1">
        <f t="shared" si="0"/>
        <v>0.03</v>
      </c>
      <c r="O13" s="1">
        <f t="shared" si="1"/>
        <v>66.599999999999994</v>
      </c>
      <c r="P13" s="1">
        <f t="shared" si="2"/>
        <v>2286.6</v>
      </c>
      <c r="Q13" s="1" t="str">
        <f t="shared" si="3"/>
        <v>Premium</v>
      </c>
      <c r="R13" s="8">
        <f t="shared" si="4"/>
        <v>30</v>
      </c>
    </row>
    <row r="14" spans="1:23" x14ac:dyDescent="0.35">
      <c r="A14" s="1">
        <v>13</v>
      </c>
      <c r="B14" s="3" t="s">
        <v>71</v>
      </c>
      <c r="C14" s="3" t="s">
        <v>72</v>
      </c>
      <c r="D14" s="3" t="s">
        <v>73</v>
      </c>
      <c r="E14" s="3" t="s">
        <v>20</v>
      </c>
      <c r="F14" s="3" t="s">
        <v>21</v>
      </c>
      <c r="G14" s="3" t="s">
        <v>22</v>
      </c>
      <c r="H14" s="1">
        <v>2023</v>
      </c>
      <c r="I14" s="1">
        <v>129000</v>
      </c>
      <c r="J14" s="1" t="s">
        <v>23</v>
      </c>
      <c r="K14" s="2">
        <v>45671</v>
      </c>
      <c r="L14" s="1">
        <v>12</v>
      </c>
      <c r="M14" s="1">
        <v>2280</v>
      </c>
      <c r="N14" s="1">
        <f t="shared" si="0"/>
        <v>0.05</v>
      </c>
      <c r="O14" s="1">
        <f t="shared" si="1"/>
        <v>114</v>
      </c>
      <c r="P14" s="1">
        <f t="shared" si="2"/>
        <v>2394</v>
      </c>
      <c r="Q14" s="1" t="str">
        <f t="shared" si="3"/>
        <v>Premium</v>
      </c>
      <c r="R14" s="8">
        <f t="shared" si="4"/>
        <v>28</v>
      </c>
    </row>
    <row r="15" spans="1:23" x14ac:dyDescent="0.35">
      <c r="A15" s="1">
        <v>14</v>
      </c>
      <c r="B15" s="3" t="s">
        <v>74</v>
      </c>
      <c r="C15" s="3" t="s">
        <v>75</v>
      </c>
      <c r="D15" s="3" t="s">
        <v>76</v>
      </c>
      <c r="E15" s="3" t="s">
        <v>50</v>
      </c>
      <c r="F15" s="3" t="s">
        <v>27</v>
      </c>
      <c r="G15" s="3" t="s">
        <v>28</v>
      </c>
      <c r="H15" s="1">
        <v>2010</v>
      </c>
      <c r="I15" s="1">
        <v>132000</v>
      </c>
      <c r="J15" s="1" t="s">
        <v>29</v>
      </c>
      <c r="K15" s="2">
        <v>45672</v>
      </c>
      <c r="L15" s="1">
        <v>12</v>
      </c>
      <c r="M15" s="1">
        <v>2340</v>
      </c>
      <c r="N15" s="1">
        <f t="shared" si="0"/>
        <v>0.06</v>
      </c>
      <c r="O15" s="1">
        <f t="shared" si="1"/>
        <v>140.4</v>
      </c>
      <c r="P15" s="1">
        <f t="shared" si="2"/>
        <v>2480.4</v>
      </c>
      <c r="Q15" s="1" t="str">
        <f t="shared" si="3"/>
        <v>Premium</v>
      </c>
      <c r="R15" s="8">
        <f t="shared" si="4"/>
        <v>26</v>
      </c>
    </row>
    <row r="16" spans="1:23" x14ac:dyDescent="0.35">
      <c r="A16" s="1">
        <v>15</v>
      </c>
      <c r="B16" s="3" t="s">
        <v>77</v>
      </c>
      <c r="C16" s="3" t="s">
        <v>78</v>
      </c>
      <c r="D16" s="3" t="s">
        <v>79</v>
      </c>
      <c r="E16" s="3" t="s">
        <v>45</v>
      </c>
      <c r="F16" s="3" t="s">
        <v>34</v>
      </c>
      <c r="G16" s="3" t="s">
        <v>35</v>
      </c>
      <c r="H16" s="1">
        <v>2011</v>
      </c>
      <c r="I16" s="1">
        <v>135000</v>
      </c>
      <c r="J16" s="1" t="s">
        <v>36</v>
      </c>
      <c r="K16" s="2">
        <v>45673</v>
      </c>
      <c r="L16" s="1">
        <v>12</v>
      </c>
      <c r="M16" s="1">
        <v>2400</v>
      </c>
      <c r="N16" s="1">
        <f t="shared" si="0"/>
        <v>0.03</v>
      </c>
      <c r="O16" s="1">
        <f t="shared" si="1"/>
        <v>72</v>
      </c>
      <c r="P16" s="1">
        <f t="shared" si="2"/>
        <v>2472</v>
      </c>
      <c r="Q16" s="1" t="str">
        <f t="shared" si="3"/>
        <v>Premium</v>
      </c>
      <c r="R16" s="8">
        <f t="shared" si="4"/>
        <v>27</v>
      </c>
    </row>
    <row r="17" spans="1:18" x14ac:dyDescent="0.35">
      <c r="A17" s="1">
        <v>16</v>
      </c>
      <c r="B17" s="3" t="s">
        <v>80</v>
      </c>
      <c r="C17" s="3" t="s">
        <v>81</v>
      </c>
      <c r="D17" s="3" t="s">
        <v>82</v>
      </c>
      <c r="E17" s="3" t="s">
        <v>40</v>
      </c>
      <c r="F17" s="3" t="s">
        <v>21</v>
      </c>
      <c r="G17" s="3" t="s">
        <v>41</v>
      </c>
      <c r="H17" s="1">
        <v>2012</v>
      </c>
      <c r="I17" s="1">
        <v>138000</v>
      </c>
      <c r="J17" s="1" t="s">
        <v>23</v>
      </c>
      <c r="K17" s="2">
        <v>45674</v>
      </c>
      <c r="L17" s="1">
        <v>12</v>
      </c>
      <c r="M17" s="1">
        <v>2460</v>
      </c>
      <c r="N17" s="1">
        <f t="shared" si="0"/>
        <v>0.05</v>
      </c>
      <c r="O17" s="1">
        <f t="shared" si="1"/>
        <v>123</v>
      </c>
      <c r="P17" s="1">
        <f t="shared" si="2"/>
        <v>2583</v>
      </c>
      <c r="Q17" s="1" t="str">
        <f t="shared" si="3"/>
        <v>Premium</v>
      </c>
      <c r="R17" s="8">
        <f t="shared" si="4"/>
        <v>25</v>
      </c>
    </row>
    <row r="18" spans="1:18" x14ac:dyDescent="0.35">
      <c r="A18" s="1">
        <v>17</v>
      </c>
      <c r="B18" s="3" t="s">
        <v>83</v>
      </c>
      <c r="C18" s="3" t="s">
        <v>84</v>
      </c>
      <c r="D18" s="3" t="s">
        <v>85</v>
      </c>
      <c r="E18" s="3" t="s">
        <v>33</v>
      </c>
      <c r="F18" s="3" t="s">
        <v>27</v>
      </c>
      <c r="G18" s="3" t="s">
        <v>46</v>
      </c>
      <c r="H18" s="1">
        <v>2013</v>
      </c>
      <c r="I18" s="1">
        <v>141000</v>
      </c>
      <c r="J18" s="1" t="s">
        <v>29</v>
      </c>
      <c r="K18" s="2">
        <v>45675</v>
      </c>
      <c r="L18" s="1">
        <v>12</v>
      </c>
      <c r="M18" s="1">
        <v>2520</v>
      </c>
      <c r="N18" s="1">
        <f t="shared" si="0"/>
        <v>0.06</v>
      </c>
      <c r="O18" s="1">
        <f t="shared" si="1"/>
        <v>151.19999999999999</v>
      </c>
      <c r="P18" s="1">
        <f t="shared" si="2"/>
        <v>2671.2</v>
      </c>
      <c r="Q18" s="1" t="str">
        <f t="shared" si="3"/>
        <v>Premium</v>
      </c>
      <c r="R18" s="8">
        <f t="shared" si="4"/>
        <v>23</v>
      </c>
    </row>
    <row r="19" spans="1:18" x14ac:dyDescent="0.35">
      <c r="A19" s="1">
        <v>18</v>
      </c>
      <c r="B19" s="3" t="s">
        <v>86</v>
      </c>
      <c r="C19" s="3" t="s">
        <v>87</v>
      </c>
      <c r="D19" s="3" t="s">
        <v>88</v>
      </c>
      <c r="E19" s="3" t="s">
        <v>20</v>
      </c>
      <c r="F19" s="3" t="s">
        <v>34</v>
      </c>
      <c r="G19" s="3" t="s">
        <v>51</v>
      </c>
      <c r="H19" s="1">
        <v>2014</v>
      </c>
      <c r="I19" s="1">
        <v>144000</v>
      </c>
      <c r="J19" s="1" t="s">
        <v>36</v>
      </c>
      <c r="K19" s="2">
        <v>45676</v>
      </c>
      <c r="L19" s="1">
        <v>12</v>
      </c>
      <c r="M19" s="1">
        <v>2580</v>
      </c>
      <c r="N19" s="1">
        <f t="shared" si="0"/>
        <v>0.03</v>
      </c>
      <c r="O19" s="1">
        <f t="shared" si="1"/>
        <v>77.399999999999991</v>
      </c>
      <c r="P19" s="1">
        <f t="shared" si="2"/>
        <v>2657.4</v>
      </c>
      <c r="Q19" s="1" t="str">
        <f t="shared" si="3"/>
        <v>Premium</v>
      </c>
      <c r="R19" s="8">
        <f t="shared" si="4"/>
        <v>24</v>
      </c>
    </row>
    <row r="20" spans="1:18" x14ac:dyDescent="0.35">
      <c r="A20" s="1">
        <v>19</v>
      </c>
      <c r="B20" s="3" t="s">
        <v>89</v>
      </c>
      <c r="C20" s="3" t="s">
        <v>90</v>
      </c>
      <c r="D20" s="3" t="s">
        <v>91</v>
      </c>
      <c r="E20" s="3" t="s">
        <v>50</v>
      </c>
      <c r="F20" s="3" t="s">
        <v>21</v>
      </c>
      <c r="G20" s="3" t="s">
        <v>22</v>
      </c>
      <c r="H20" s="1">
        <v>2015</v>
      </c>
      <c r="I20" s="1">
        <v>147000</v>
      </c>
      <c r="J20" s="1" t="s">
        <v>23</v>
      </c>
      <c r="K20" s="2">
        <v>45677</v>
      </c>
      <c r="L20" s="1">
        <v>12</v>
      </c>
      <c r="M20" s="1">
        <v>2640</v>
      </c>
      <c r="N20" s="1">
        <f t="shared" si="0"/>
        <v>0.05</v>
      </c>
      <c r="O20" s="1">
        <f t="shared" si="1"/>
        <v>132</v>
      </c>
      <c r="P20" s="1">
        <f t="shared" si="2"/>
        <v>2772</v>
      </c>
      <c r="Q20" s="1" t="str">
        <f t="shared" si="3"/>
        <v>Premium</v>
      </c>
      <c r="R20" s="8">
        <f t="shared" si="4"/>
        <v>22</v>
      </c>
    </row>
    <row r="21" spans="1:18" x14ac:dyDescent="0.35">
      <c r="A21" s="1">
        <v>20</v>
      </c>
      <c r="B21" s="3" t="s">
        <v>92</v>
      </c>
      <c r="C21" s="3" t="s">
        <v>93</v>
      </c>
      <c r="D21" s="3" t="s">
        <v>94</v>
      </c>
      <c r="E21" s="3" t="s">
        <v>45</v>
      </c>
      <c r="F21" s="3" t="s">
        <v>27</v>
      </c>
      <c r="G21" s="3" t="s">
        <v>28</v>
      </c>
      <c r="H21" s="1">
        <v>2016</v>
      </c>
      <c r="I21" s="1">
        <v>150000</v>
      </c>
      <c r="J21" s="1" t="s">
        <v>29</v>
      </c>
      <c r="K21" s="2">
        <v>45678</v>
      </c>
      <c r="L21" s="1">
        <v>12</v>
      </c>
      <c r="M21" s="1">
        <v>2700</v>
      </c>
      <c r="N21" s="1">
        <f t="shared" si="0"/>
        <v>0.06</v>
      </c>
      <c r="O21" s="1">
        <f t="shared" si="1"/>
        <v>162</v>
      </c>
      <c r="P21" s="1">
        <f t="shared" si="2"/>
        <v>2862</v>
      </c>
      <c r="Q21" s="1" t="str">
        <f t="shared" si="3"/>
        <v>Premium</v>
      </c>
      <c r="R21" s="8">
        <f t="shared" si="4"/>
        <v>20</v>
      </c>
    </row>
    <row r="22" spans="1:18" x14ac:dyDescent="0.35">
      <c r="A22" s="1">
        <v>21</v>
      </c>
      <c r="B22" s="3" t="s">
        <v>95</v>
      </c>
      <c r="C22" s="3" t="s">
        <v>96</v>
      </c>
      <c r="D22" s="3" t="s">
        <v>97</v>
      </c>
      <c r="E22" s="3" t="s">
        <v>40</v>
      </c>
      <c r="F22" s="3" t="s">
        <v>34</v>
      </c>
      <c r="G22" s="3" t="s">
        <v>35</v>
      </c>
      <c r="H22" s="1">
        <v>2017</v>
      </c>
      <c r="I22" s="1">
        <v>153000</v>
      </c>
      <c r="J22" s="1" t="s">
        <v>36</v>
      </c>
      <c r="K22" s="2">
        <v>45679</v>
      </c>
      <c r="L22" s="1">
        <v>12</v>
      </c>
      <c r="M22" s="1">
        <v>2760</v>
      </c>
      <c r="N22" s="1">
        <f t="shared" si="0"/>
        <v>0.03</v>
      </c>
      <c r="O22" s="1">
        <f t="shared" si="1"/>
        <v>82.8</v>
      </c>
      <c r="P22" s="1">
        <f t="shared" si="2"/>
        <v>2842.8</v>
      </c>
      <c r="Q22" s="1" t="str">
        <f t="shared" si="3"/>
        <v>Premium</v>
      </c>
      <c r="R22" s="8">
        <f t="shared" si="4"/>
        <v>21</v>
      </c>
    </row>
    <row r="23" spans="1:18" x14ac:dyDescent="0.35">
      <c r="A23" s="1">
        <v>22</v>
      </c>
      <c r="B23" s="3" t="s">
        <v>98</v>
      </c>
      <c r="C23" s="3" t="s">
        <v>99</v>
      </c>
      <c r="D23" s="3" t="s">
        <v>100</v>
      </c>
      <c r="E23" s="3" t="s">
        <v>33</v>
      </c>
      <c r="F23" s="3" t="s">
        <v>21</v>
      </c>
      <c r="G23" s="3" t="s">
        <v>41</v>
      </c>
      <c r="H23" s="1">
        <v>2018</v>
      </c>
      <c r="I23" s="1">
        <v>156000</v>
      </c>
      <c r="J23" s="1" t="s">
        <v>23</v>
      </c>
      <c r="K23" s="2">
        <v>45680</v>
      </c>
      <c r="L23" s="1">
        <v>12</v>
      </c>
      <c r="M23" s="1">
        <v>2820</v>
      </c>
      <c r="N23" s="1">
        <f t="shared" si="0"/>
        <v>0.05</v>
      </c>
      <c r="O23" s="1">
        <f t="shared" si="1"/>
        <v>141</v>
      </c>
      <c r="P23" s="1">
        <f t="shared" si="2"/>
        <v>2961</v>
      </c>
      <c r="Q23" s="1" t="str">
        <f t="shared" si="3"/>
        <v>Premium</v>
      </c>
      <c r="R23" s="8">
        <f t="shared" si="4"/>
        <v>19</v>
      </c>
    </row>
    <row r="24" spans="1:18" x14ac:dyDescent="0.35">
      <c r="A24" s="1">
        <v>23</v>
      </c>
      <c r="B24" s="3" t="s">
        <v>101</v>
      </c>
      <c r="C24" s="3" t="s">
        <v>102</v>
      </c>
      <c r="D24" s="3" t="s">
        <v>103</v>
      </c>
      <c r="E24" s="3" t="s">
        <v>50</v>
      </c>
      <c r="F24" s="3" t="s">
        <v>27</v>
      </c>
      <c r="G24" s="3" t="s">
        <v>46</v>
      </c>
      <c r="H24" s="1">
        <v>2019</v>
      </c>
      <c r="I24" s="1">
        <v>159000</v>
      </c>
      <c r="J24" s="1" t="s">
        <v>29</v>
      </c>
      <c r="K24" s="2">
        <v>45681</v>
      </c>
      <c r="L24" s="1">
        <v>12</v>
      </c>
      <c r="M24" s="1">
        <v>2880</v>
      </c>
      <c r="N24" s="1">
        <f t="shared" si="0"/>
        <v>0.06</v>
      </c>
      <c r="O24" s="1">
        <f t="shared" si="1"/>
        <v>172.79999999999998</v>
      </c>
      <c r="P24" s="1">
        <f t="shared" si="2"/>
        <v>3052.8</v>
      </c>
      <c r="Q24" s="1" t="str">
        <f t="shared" si="3"/>
        <v>Premium</v>
      </c>
      <c r="R24" s="8">
        <f t="shared" si="4"/>
        <v>17</v>
      </c>
    </row>
    <row r="25" spans="1:18" x14ac:dyDescent="0.35">
      <c r="A25" s="1">
        <v>24</v>
      </c>
      <c r="B25" s="3" t="s">
        <v>104</v>
      </c>
      <c r="C25" s="3" t="s">
        <v>105</v>
      </c>
      <c r="D25" s="3" t="s">
        <v>106</v>
      </c>
      <c r="E25" s="3" t="s">
        <v>40</v>
      </c>
      <c r="F25" s="3" t="s">
        <v>34</v>
      </c>
      <c r="G25" s="3" t="s">
        <v>51</v>
      </c>
      <c r="H25" s="1">
        <v>2020</v>
      </c>
      <c r="I25" s="1">
        <v>162000</v>
      </c>
      <c r="J25" s="1" t="s">
        <v>36</v>
      </c>
      <c r="K25" s="2">
        <v>45682</v>
      </c>
      <c r="L25" s="1">
        <v>12</v>
      </c>
      <c r="M25" s="1">
        <v>2940</v>
      </c>
      <c r="N25" s="1">
        <f t="shared" si="0"/>
        <v>0.03</v>
      </c>
      <c r="O25" s="1">
        <f t="shared" si="1"/>
        <v>88.2</v>
      </c>
      <c r="P25" s="1">
        <f t="shared" si="2"/>
        <v>3028.2</v>
      </c>
      <c r="Q25" s="1" t="str">
        <f t="shared" si="3"/>
        <v>Premium</v>
      </c>
      <c r="R25" s="8">
        <f t="shared" si="4"/>
        <v>18</v>
      </c>
    </row>
    <row r="26" spans="1:18" x14ac:dyDescent="0.35">
      <c r="A26" s="1">
        <v>25</v>
      </c>
      <c r="B26" s="3" t="s">
        <v>107</v>
      </c>
      <c r="C26" s="3" t="s">
        <v>108</v>
      </c>
      <c r="D26" s="3" t="s">
        <v>109</v>
      </c>
      <c r="E26" s="3" t="s">
        <v>45</v>
      </c>
      <c r="F26" s="3" t="s">
        <v>21</v>
      </c>
      <c r="G26" s="3" t="s">
        <v>22</v>
      </c>
      <c r="H26" s="1">
        <v>2021</v>
      </c>
      <c r="I26" s="1">
        <v>165000</v>
      </c>
      <c r="J26" s="1" t="s">
        <v>23</v>
      </c>
      <c r="K26" s="2">
        <v>45683</v>
      </c>
      <c r="L26" s="1">
        <v>12</v>
      </c>
      <c r="M26" s="1">
        <v>3000</v>
      </c>
      <c r="N26" s="1">
        <f t="shared" si="0"/>
        <v>0.05</v>
      </c>
      <c r="O26" s="1">
        <f t="shared" si="1"/>
        <v>150</v>
      </c>
      <c r="P26" s="1">
        <f t="shared" si="2"/>
        <v>3150</v>
      </c>
      <c r="Q26" s="1" t="str">
        <f t="shared" si="3"/>
        <v>Premium</v>
      </c>
      <c r="R26" s="8">
        <f t="shared" si="4"/>
        <v>16</v>
      </c>
    </row>
    <row r="27" spans="1:18" x14ac:dyDescent="0.35">
      <c r="A27" s="1">
        <v>26</v>
      </c>
      <c r="B27" s="3" t="s">
        <v>110</v>
      </c>
      <c r="C27" s="3" t="s">
        <v>111</v>
      </c>
      <c r="D27" s="3" t="s">
        <v>112</v>
      </c>
      <c r="E27" s="3" t="s">
        <v>20</v>
      </c>
      <c r="F27" s="3" t="s">
        <v>27</v>
      </c>
      <c r="G27" s="3" t="s">
        <v>28</v>
      </c>
      <c r="H27" s="1">
        <v>2022</v>
      </c>
      <c r="I27" s="1">
        <v>168000</v>
      </c>
      <c r="J27" s="1" t="s">
        <v>29</v>
      </c>
      <c r="K27" s="2">
        <v>45684</v>
      </c>
      <c r="L27" s="1">
        <v>12</v>
      </c>
      <c r="M27" s="1">
        <v>3060</v>
      </c>
      <c r="N27" s="1">
        <f t="shared" si="0"/>
        <v>0.06</v>
      </c>
      <c r="O27" s="1">
        <f t="shared" si="1"/>
        <v>183.6</v>
      </c>
      <c r="P27" s="1">
        <f t="shared" si="2"/>
        <v>3243.6</v>
      </c>
      <c r="Q27" s="1" t="str">
        <f t="shared" si="3"/>
        <v>Premium</v>
      </c>
      <c r="R27" s="8">
        <f t="shared" si="4"/>
        <v>14</v>
      </c>
    </row>
    <row r="28" spans="1:18" x14ac:dyDescent="0.35">
      <c r="A28" s="1">
        <v>27</v>
      </c>
      <c r="B28" s="3" t="s">
        <v>113</v>
      </c>
      <c r="C28" s="3" t="s">
        <v>114</v>
      </c>
      <c r="D28" s="3" t="s">
        <v>115</v>
      </c>
      <c r="E28" s="3" t="s">
        <v>50</v>
      </c>
      <c r="F28" s="3" t="s">
        <v>34</v>
      </c>
      <c r="G28" s="3" t="s">
        <v>35</v>
      </c>
      <c r="H28" s="1">
        <v>2023</v>
      </c>
      <c r="I28" s="1">
        <v>171000</v>
      </c>
      <c r="J28" s="1" t="s">
        <v>36</v>
      </c>
      <c r="K28" s="2">
        <v>45685</v>
      </c>
      <c r="L28" s="1">
        <v>12</v>
      </c>
      <c r="M28" s="1">
        <v>3120</v>
      </c>
      <c r="N28" s="1">
        <f t="shared" si="0"/>
        <v>0.03</v>
      </c>
      <c r="O28" s="1">
        <f t="shared" si="1"/>
        <v>93.6</v>
      </c>
      <c r="P28" s="1">
        <f t="shared" si="2"/>
        <v>3213.6</v>
      </c>
      <c r="Q28" s="1" t="str">
        <f t="shared" si="3"/>
        <v>Premium</v>
      </c>
      <c r="R28" s="8">
        <f t="shared" si="4"/>
        <v>15</v>
      </c>
    </row>
    <row r="29" spans="1:18" x14ac:dyDescent="0.35">
      <c r="A29" s="1">
        <v>28</v>
      </c>
      <c r="B29" s="3" t="s">
        <v>116</v>
      </c>
      <c r="C29" s="3" t="s">
        <v>117</v>
      </c>
      <c r="D29" s="3" t="s">
        <v>118</v>
      </c>
      <c r="E29" s="3" t="s">
        <v>33</v>
      </c>
      <c r="F29" s="3" t="s">
        <v>21</v>
      </c>
      <c r="G29" s="3" t="s">
        <v>41</v>
      </c>
      <c r="H29" s="1">
        <v>2010</v>
      </c>
      <c r="I29" s="1">
        <v>174000</v>
      </c>
      <c r="J29" s="1" t="s">
        <v>23</v>
      </c>
      <c r="K29" s="2">
        <v>45658</v>
      </c>
      <c r="L29" s="1">
        <v>12</v>
      </c>
      <c r="M29" s="1">
        <v>3180</v>
      </c>
      <c r="N29" s="1">
        <f t="shared" si="0"/>
        <v>0.05</v>
      </c>
      <c r="O29" s="1">
        <f t="shared" si="1"/>
        <v>159</v>
      </c>
      <c r="P29" s="1">
        <f t="shared" si="2"/>
        <v>3339</v>
      </c>
      <c r="Q29" s="1" t="str">
        <f t="shared" si="3"/>
        <v>Premium</v>
      </c>
      <c r="R29" s="8">
        <f t="shared" si="4"/>
        <v>13</v>
      </c>
    </row>
    <row r="30" spans="1:18" x14ac:dyDescent="0.35">
      <c r="A30" s="1">
        <v>29</v>
      </c>
      <c r="B30" s="3" t="s">
        <v>119</v>
      </c>
      <c r="C30" s="3" t="s">
        <v>120</v>
      </c>
      <c r="D30" s="3" t="s">
        <v>121</v>
      </c>
      <c r="E30" s="3" t="s">
        <v>40</v>
      </c>
      <c r="F30" s="3" t="s">
        <v>27</v>
      </c>
      <c r="G30" s="3" t="s">
        <v>46</v>
      </c>
      <c r="H30" s="1">
        <v>2011</v>
      </c>
      <c r="I30" s="1">
        <v>177000</v>
      </c>
      <c r="J30" s="1" t="s">
        <v>29</v>
      </c>
      <c r="K30" s="2">
        <v>45659</v>
      </c>
      <c r="L30" s="1">
        <v>12</v>
      </c>
      <c r="M30" s="1">
        <v>3240</v>
      </c>
      <c r="N30" s="1">
        <f t="shared" si="0"/>
        <v>0.06</v>
      </c>
      <c r="O30" s="1">
        <f t="shared" si="1"/>
        <v>194.4</v>
      </c>
      <c r="P30" s="1">
        <f t="shared" si="2"/>
        <v>3434.4</v>
      </c>
      <c r="Q30" s="1" t="str">
        <f t="shared" si="3"/>
        <v>Premium</v>
      </c>
      <c r="R30" s="8">
        <f t="shared" si="4"/>
        <v>11</v>
      </c>
    </row>
    <row r="31" spans="1:18" x14ac:dyDescent="0.35">
      <c r="A31" s="1">
        <v>30</v>
      </c>
      <c r="B31" s="3" t="s">
        <v>122</v>
      </c>
      <c r="C31" s="3" t="s">
        <v>123</v>
      </c>
      <c r="D31" s="3" t="s">
        <v>124</v>
      </c>
      <c r="E31" s="3" t="s">
        <v>45</v>
      </c>
      <c r="F31" s="3" t="s">
        <v>34</v>
      </c>
      <c r="G31" s="3" t="s">
        <v>51</v>
      </c>
      <c r="H31" s="1">
        <v>2012</v>
      </c>
      <c r="I31" s="1">
        <v>180000</v>
      </c>
      <c r="J31" s="1" t="s">
        <v>36</v>
      </c>
      <c r="K31" s="2">
        <v>45660</v>
      </c>
      <c r="L31" s="1">
        <v>12</v>
      </c>
      <c r="M31" s="1">
        <v>3300</v>
      </c>
      <c r="N31" s="1">
        <f t="shared" si="0"/>
        <v>0.03</v>
      </c>
      <c r="O31" s="1">
        <f t="shared" si="1"/>
        <v>99</v>
      </c>
      <c r="P31" s="1">
        <f t="shared" si="2"/>
        <v>3399</v>
      </c>
      <c r="Q31" s="1" t="str">
        <f t="shared" si="3"/>
        <v>Premium</v>
      </c>
      <c r="R31" s="8">
        <f t="shared" si="4"/>
        <v>12</v>
      </c>
    </row>
    <row r="32" spans="1:18" x14ac:dyDescent="0.35">
      <c r="A32" s="1">
        <v>31</v>
      </c>
      <c r="B32" s="3" t="s">
        <v>125</v>
      </c>
      <c r="C32" s="3" t="s">
        <v>126</v>
      </c>
      <c r="D32" s="3" t="s">
        <v>127</v>
      </c>
      <c r="E32" s="3" t="s">
        <v>50</v>
      </c>
      <c r="F32" s="3" t="s">
        <v>21</v>
      </c>
      <c r="G32" s="3" t="s">
        <v>22</v>
      </c>
      <c r="H32" s="1">
        <v>2013</v>
      </c>
      <c r="I32" s="1">
        <v>183000</v>
      </c>
      <c r="J32" s="1" t="s">
        <v>23</v>
      </c>
      <c r="K32" s="2">
        <v>45661</v>
      </c>
      <c r="L32" s="1">
        <v>12</v>
      </c>
      <c r="M32" s="1">
        <v>3360</v>
      </c>
      <c r="N32" s="1">
        <f t="shared" si="0"/>
        <v>0.05</v>
      </c>
      <c r="O32" s="1">
        <f t="shared" si="1"/>
        <v>168</v>
      </c>
      <c r="P32" s="1">
        <f t="shared" si="2"/>
        <v>3528</v>
      </c>
      <c r="Q32" s="1" t="str">
        <f t="shared" si="3"/>
        <v>Premium</v>
      </c>
      <c r="R32" s="8">
        <f t="shared" si="4"/>
        <v>10</v>
      </c>
    </row>
    <row r="33" spans="1:20" x14ac:dyDescent="0.35">
      <c r="A33" s="1">
        <v>32</v>
      </c>
      <c r="B33" s="3" t="s">
        <v>128</v>
      </c>
      <c r="C33" s="3" t="s">
        <v>129</v>
      </c>
      <c r="D33" s="3" t="s">
        <v>130</v>
      </c>
      <c r="E33" s="3" t="s">
        <v>33</v>
      </c>
      <c r="F33" s="3" t="s">
        <v>27</v>
      </c>
      <c r="G33" s="3" t="s">
        <v>28</v>
      </c>
      <c r="H33" s="1">
        <v>2014</v>
      </c>
      <c r="I33" s="1">
        <v>186000</v>
      </c>
      <c r="J33" s="1" t="s">
        <v>29</v>
      </c>
      <c r="K33" s="2">
        <v>45662</v>
      </c>
      <c r="L33" s="1">
        <v>12</v>
      </c>
      <c r="M33" s="1">
        <v>3420</v>
      </c>
      <c r="N33" s="1">
        <f t="shared" si="0"/>
        <v>0.06</v>
      </c>
      <c r="O33" s="1">
        <f t="shared" si="1"/>
        <v>205.2</v>
      </c>
      <c r="P33" s="1">
        <f t="shared" si="2"/>
        <v>3625.2</v>
      </c>
      <c r="Q33" s="1" t="str">
        <f t="shared" si="3"/>
        <v>Premium</v>
      </c>
      <c r="R33" s="8">
        <f t="shared" si="4"/>
        <v>8</v>
      </c>
    </row>
    <row r="34" spans="1:20" x14ac:dyDescent="0.35">
      <c r="A34" s="1">
        <v>33</v>
      </c>
      <c r="B34" s="3" t="s">
        <v>131</v>
      </c>
      <c r="C34" s="3" t="s">
        <v>132</v>
      </c>
      <c r="D34" s="3" t="s">
        <v>133</v>
      </c>
      <c r="E34" s="3" t="s">
        <v>40</v>
      </c>
      <c r="F34" s="3" t="s">
        <v>34</v>
      </c>
      <c r="G34" s="3" t="s">
        <v>35</v>
      </c>
      <c r="H34" s="1">
        <v>2015</v>
      </c>
      <c r="I34" s="1">
        <v>189000</v>
      </c>
      <c r="J34" s="1" t="s">
        <v>36</v>
      </c>
      <c r="K34" s="2">
        <v>45663</v>
      </c>
      <c r="L34" s="1">
        <v>12</v>
      </c>
      <c r="M34" s="1">
        <v>3480</v>
      </c>
      <c r="N34" s="1">
        <f t="shared" si="0"/>
        <v>0.03</v>
      </c>
      <c r="O34" s="1">
        <f t="shared" si="1"/>
        <v>104.39999999999999</v>
      </c>
      <c r="P34" s="1">
        <f t="shared" si="2"/>
        <v>3584.4</v>
      </c>
      <c r="Q34" s="1" t="str">
        <f t="shared" si="3"/>
        <v>Premium</v>
      </c>
      <c r="R34" s="8">
        <f t="shared" si="4"/>
        <v>9</v>
      </c>
    </row>
    <row r="35" spans="1:20" x14ac:dyDescent="0.35">
      <c r="A35" s="1">
        <v>34</v>
      </c>
      <c r="B35" s="3" t="s">
        <v>134</v>
      </c>
      <c r="C35" s="3" t="s">
        <v>135</v>
      </c>
      <c r="D35" s="3" t="s">
        <v>136</v>
      </c>
      <c r="E35" s="3" t="s">
        <v>45</v>
      </c>
      <c r="F35" s="3" t="s">
        <v>21</v>
      </c>
      <c r="G35" s="3" t="s">
        <v>41</v>
      </c>
      <c r="H35" s="1">
        <v>2016</v>
      </c>
      <c r="I35" s="1">
        <v>192000</v>
      </c>
      <c r="J35" s="1" t="s">
        <v>23</v>
      </c>
      <c r="K35" s="2">
        <v>45664</v>
      </c>
      <c r="L35" s="1">
        <v>12</v>
      </c>
      <c r="M35" s="1">
        <v>3540</v>
      </c>
      <c r="N35" s="1">
        <f t="shared" si="0"/>
        <v>0.05</v>
      </c>
      <c r="O35" s="1">
        <f t="shared" si="1"/>
        <v>177</v>
      </c>
      <c r="P35" s="1">
        <f t="shared" si="2"/>
        <v>3717</v>
      </c>
      <c r="Q35" s="1" t="str">
        <f t="shared" si="3"/>
        <v>Premium</v>
      </c>
      <c r="R35" s="8">
        <f t="shared" si="4"/>
        <v>7</v>
      </c>
    </row>
    <row r="36" spans="1:20" x14ac:dyDescent="0.35">
      <c r="A36" s="1">
        <v>35</v>
      </c>
      <c r="B36" s="3" t="s">
        <v>137</v>
      </c>
      <c r="C36" s="3" t="s">
        <v>138</v>
      </c>
      <c r="D36" s="3" t="s">
        <v>139</v>
      </c>
      <c r="E36" s="3" t="s">
        <v>20</v>
      </c>
      <c r="F36" s="3" t="s">
        <v>27</v>
      </c>
      <c r="G36" s="3" t="s">
        <v>46</v>
      </c>
      <c r="H36" s="1">
        <v>2017</v>
      </c>
      <c r="I36" s="1">
        <v>195000</v>
      </c>
      <c r="J36" s="1" t="s">
        <v>29</v>
      </c>
      <c r="K36" s="2">
        <v>45665</v>
      </c>
      <c r="L36" s="1">
        <v>12</v>
      </c>
      <c r="M36" s="1">
        <v>3600</v>
      </c>
      <c r="N36" s="1">
        <f t="shared" si="0"/>
        <v>0.06</v>
      </c>
      <c r="O36" s="1">
        <f t="shared" si="1"/>
        <v>216</v>
      </c>
      <c r="P36" s="1">
        <f t="shared" si="2"/>
        <v>3816</v>
      </c>
      <c r="Q36" s="1" t="str">
        <f t="shared" si="3"/>
        <v>Premium</v>
      </c>
      <c r="R36" s="8">
        <f t="shared" si="4"/>
        <v>5</v>
      </c>
    </row>
    <row r="37" spans="1:20" x14ac:dyDescent="0.35">
      <c r="A37" s="1">
        <v>36</v>
      </c>
      <c r="B37" s="3" t="s">
        <v>140</v>
      </c>
      <c r="C37" s="3" t="s">
        <v>141</v>
      </c>
      <c r="D37" s="3" t="s">
        <v>142</v>
      </c>
      <c r="E37" s="3" t="s">
        <v>50</v>
      </c>
      <c r="F37" s="3" t="s">
        <v>34</v>
      </c>
      <c r="G37" s="3" t="s">
        <v>51</v>
      </c>
      <c r="H37" s="1">
        <v>2018</v>
      </c>
      <c r="I37" s="1">
        <v>198000</v>
      </c>
      <c r="J37" s="1" t="s">
        <v>36</v>
      </c>
      <c r="K37" s="2">
        <v>45666</v>
      </c>
      <c r="L37" s="1">
        <v>12</v>
      </c>
      <c r="M37" s="1">
        <v>3660</v>
      </c>
      <c r="N37" s="1">
        <f t="shared" si="0"/>
        <v>0.03</v>
      </c>
      <c r="O37" s="1">
        <f t="shared" si="1"/>
        <v>109.8</v>
      </c>
      <c r="P37" s="1">
        <f t="shared" si="2"/>
        <v>3769.8</v>
      </c>
      <c r="Q37" s="1" t="str">
        <f t="shared" si="3"/>
        <v>Premium</v>
      </c>
      <c r="R37" s="8">
        <f t="shared" si="4"/>
        <v>6</v>
      </c>
    </row>
    <row r="38" spans="1:20" x14ac:dyDescent="0.35">
      <c r="A38" s="1">
        <v>37</v>
      </c>
      <c r="B38" s="3" t="s">
        <v>143</v>
      </c>
      <c r="C38" s="3" t="s">
        <v>144</v>
      </c>
      <c r="D38" s="3" t="s">
        <v>145</v>
      </c>
      <c r="E38" s="3" t="s">
        <v>33</v>
      </c>
      <c r="F38" s="3" t="s">
        <v>21</v>
      </c>
      <c r="G38" s="3" t="s">
        <v>22</v>
      </c>
      <c r="H38" s="1">
        <v>2019</v>
      </c>
      <c r="I38" s="1">
        <v>201000</v>
      </c>
      <c r="J38" s="1" t="s">
        <v>23</v>
      </c>
      <c r="K38" s="2">
        <v>45667</v>
      </c>
      <c r="L38" s="1">
        <v>12</v>
      </c>
      <c r="M38" s="1">
        <v>3720</v>
      </c>
      <c r="N38" s="1">
        <f t="shared" si="0"/>
        <v>0.05</v>
      </c>
      <c r="O38" s="1">
        <f t="shared" si="1"/>
        <v>186</v>
      </c>
      <c r="P38" s="1">
        <f t="shared" si="2"/>
        <v>3906</v>
      </c>
      <c r="Q38" s="1" t="str">
        <f t="shared" si="3"/>
        <v>Premium</v>
      </c>
      <c r="R38" s="8">
        <f t="shared" si="4"/>
        <v>4</v>
      </c>
    </row>
    <row r="39" spans="1:20" x14ac:dyDescent="0.35">
      <c r="A39" s="1">
        <v>38</v>
      </c>
      <c r="B39" s="3" t="s">
        <v>146</v>
      </c>
      <c r="C39" s="3" t="s">
        <v>147</v>
      </c>
      <c r="D39" s="3" t="s">
        <v>148</v>
      </c>
      <c r="E39" s="3" t="s">
        <v>40</v>
      </c>
      <c r="F39" s="3" t="s">
        <v>27</v>
      </c>
      <c r="G39" s="3" t="s">
        <v>28</v>
      </c>
      <c r="H39" s="1">
        <v>2020</v>
      </c>
      <c r="I39" s="1">
        <v>204000</v>
      </c>
      <c r="J39" s="1" t="s">
        <v>29</v>
      </c>
      <c r="K39" s="2">
        <v>45668</v>
      </c>
      <c r="L39" s="1">
        <v>12</v>
      </c>
      <c r="M39" s="1">
        <v>3780</v>
      </c>
      <c r="N39" s="1">
        <f t="shared" si="0"/>
        <v>0.06</v>
      </c>
      <c r="O39" s="1">
        <f t="shared" si="1"/>
        <v>226.79999999999998</v>
      </c>
      <c r="P39" s="1">
        <f t="shared" si="2"/>
        <v>4006.8</v>
      </c>
      <c r="Q39" s="1" t="str">
        <f t="shared" si="3"/>
        <v>Premium</v>
      </c>
      <c r="R39" s="8">
        <f t="shared" si="4"/>
        <v>2</v>
      </c>
    </row>
    <row r="40" spans="1:20" x14ac:dyDescent="0.35">
      <c r="A40" s="1">
        <v>39</v>
      </c>
      <c r="B40" s="3" t="s">
        <v>149</v>
      </c>
      <c r="C40" s="3" t="s">
        <v>150</v>
      </c>
      <c r="D40" s="3" t="s">
        <v>151</v>
      </c>
      <c r="E40" s="3" t="s">
        <v>45</v>
      </c>
      <c r="F40" s="3" t="s">
        <v>34</v>
      </c>
      <c r="G40" s="3" t="s">
        <v>35</v>
      </c>
      <c r="H40" s="1">
        <v>2021</v>
      </c>
      <c r="I40" s="1">
        <v>207000</v>
      </c>
      <c r="J40" s="1" t="s">
        <v>36</v>
      </c>
      <c r="K40" s="2">
        <v>45669</v>
      </c>
      <c r="L40" s="1">
        <v>12</v>
      </c>
      <c r="M40" s="1">
        <v>3840</v>
      </c>
      <c r="N40" s="1">
        <f t="shared" si="0"/>
        <v>0.03</v>
      </c>
      <c r="O40" s="1">
        <f t="shared" si="1"/>
        <v>115.19999999999999</v>
      </c>
      <c r="P40" s="1">
        <f t="shared" si="2"/>
        <v>3955.2</v>
      </c>
      <c r="Q40" s="1" t="str">
        <f t="shared" si="3"/>
        <v>Premium</v>
      </c>
      <c r="R40" s="8">
        <f t="shared" si="4"/>
        <v>3</v>
      </c>
    </row>
    <row r="41" spans="1:20" x14ac:dyDescent="0.35">
      <c r="A41" s="1">
        <v>40</v>
      </c>
      <c r="B41" s="3" t="s">
        <v>152</v>
      </c>
      <c r="C41" s="3" t="s">
        <v>153</v>
      </c>
      <c r="D41" s="3" t="s">
        <v>154</v>
      </c>
      <c r="E41" s="3" t="s">
        <v>20</v>
      </c>
      <c r="F41" s="3" t="s">
        <v>21</v>
      </c>
      <c r="G41" s="3" t="s">
        <v>41</v>
      </c>
      <c r="H41" s="1">
        <v>2022</v>
      </c>
      <c r="I41" s="1">
        <v>210000</v>
      </c>
      <c r="J41" s="1" t="s">
        <v>23</v>
      </c>
      <c r="K41" s="2">
        <v>45670</v>
      </c>
      <c r="L41" s="1">
        <v>12</v>
      </c>
      <c r="M41" s="1">
        <v>3900</v>
      </c>
      <c r="N41" s="1">
        <f t="shared" si="0"/>
        <v>0.05</v>
      </c>
      <c r="O41" s="1">
        <f t="shared" si="1"/>
        <v>195</v>
      </c>
      <c r="P41" s="1">
        <f t="shared" si="2"/>
        <v>4095</v>
      </c>
      <c r="Q41" s="1" t="str">
        <f t="shared" si="3"/>
        <v>Premium</v>
      </c>
      <c r="R41" s="8">
        <f>RANK(P41,$P$2:$P$100,0)</f>
        <v>1</v>
      </c>
    </row>
    <row r="42" spans="1:20" x14ac:dyDescent="0.35">
      <c r="R42" s="8"/>
    </row>
    <row r="43" spans="1:20" x14ac:dyDescent="0.35">
      <c r="R43" s="8"/>
    </row>
    <row r="46" spans="1:20" x14ac:dyDescent="0.35">
      <c r="N46" s="41" t="s">
        <v>158</v>
      </c>
      <c r="O46" s="42"/>
      <c r="P46" s="42"/>
      <c r="Q46" s="42"/>
      <c r="R46" s="42"/>
      <c r="S46" s="42"/>
      <c r="T46" s="43"/>
    </row>
    <row r="47" spans="1:20" x14ac:dyDescent="0.35">
      <c r="N47" s="44"/>
      <c r="O47" s="45"/>
      <c r="P47" s="45"/>
      <c r="Q47" s="45"/>
      <c r="R47" s="45"/>
      <c r="S47" s="45"/>
      <c r="T47" s="46"/>
    </row>
    <row r="48" spans="1:20" x14ac:dyDescent="0.35">
      <c r="N48" s="47"/>
      <c r="O48" s="48"/>
      <c r="P48" s="48"/>
      <c r="Q48" s="48"/>
      <c r="R48" s="48"/>
      <c r="S48" s="48"/>
      <c r="T48" s="49"/>
    </row>
    <row r="49" spans="14:20" x14ac:dyDescent="0.35">
      <c r="N49" s="50" t="s">
        <v>156</v>
      </c>
      <c r="O49" s="51"/>
      <c r="P49" s="51"/>
      <c r="Q49" s="51"/>
      <c r="R49" s="52"/>
      <c r="S49" s="62">
        <f>COUNTIF(J2:J41,"Tous Risques")</f>
        <v>13</v>
      </c>
      <c r="T49" s="63"/>
    </row>
    <row r="50" spans="14:20" x14ac:dyDescent="0.35">
      <c r="N50" s="53"/>
      <c r="O50" s="54"/>
      <c r="P50" s="54"/>
      <c r="Q50" s="54"/>
      <c r="R50" s="55"/>
      <c r="S50" s="64"/>
      <c r="T50" s="65"/>
    </row>
    <row r="51" spans="14:20" x14ac:dyDescent="0.35">
      <c r="N51" s="50" t="s">
        <v>157</v>
      </c>
      <c r="O51" s="51"/>
      <c r="P51" s="51"/>
      <c r="Q51" s="51"/>
      <c r="R51" s="52"/>
      <c r="S51" s="62">
        <f>COUNTIF(F2:F41,"Voiture")</f>
        <v>13</v>
      </c>
      <c r="T51" s="63"/>
    </row>
    <row r="52" spans="14:20" x14ac:dyDescent="0.35">
      <c r="N52" s="53"/>
      <c r="O52" s="54"/>
      <c r="P52" s="54"/>
      <c r="Q52" s="54"/>
      <c r="R52" s="55"/>
      <c r="S52" s="64"/>
      <c r="T52" s="65"/>
    </row>
    <row r="53" spans="14:20" x14ac:dyDescent="0.35">
      <c r="N53" s="56" t="s">
        <v>159</v>
      </c>
      <c r="O53" s="57"/>
      <c r="P53" s="57"/>
      <c r="Q53" s="57"/>
      <c r="R53" s="58"/>
      <c r="S53" s="62">
        <f>SUMIF(E:E,"Ouarzazate",M:M)</f>
        <v>18600</v>
      </c>
      <c r="T53" s="63"/>
    </row>
    <row r="54" spans="14:20" x14ac:dyDescent="0.35">
      <c r="N54" s="59"/>
      <c r="O54" s="60"/>
      <c r="P54" s="60"/>
      <c r="Q54" s="60"/>
      <c r="R54" s="61"/>
      <c r="S54" s="64"/>
      <c r="T54" s="65"/>
    </row>
    <row r="55" spans="14:20" x14ac:dyDescent="0.35">
      <c r="N55" s="56" t="s">
        <v>160</v>
      </c>
      <c r="O55" s="57"/>
      <c r="P55" s="57"/>
      <c r="Q55" s="57"/>
      <c r="R55" s="58"/>
      <c r="S55" s="62">
        <f>SUMIF(F:F,"Camion",M:M)</f>
        <v>35100</v>
      </c>
      <c r="T55" s="63"/>
    </row>
    <row r="56" spans="14:20" x14ac:dyDescent="0.35">
      <c r="N56" s="59"/>
      <c r="O56" s="60"/>
      <c r="P56" s="60"/>
      <c r="Q56" s="60"/>
      <c r="R56" s="61"/>
      <c r="S56" s="64"/>
      <c r="T56" s="65"/>
    </row>
    <row r="57" spans="14:20" x14ac:dyDescent="0.35">
      <c r="N57" s="32">
        <v>3</v>
      </c>
      <c r="O57" s="33"/>
      <c r="P57" s="33"/>
      <c r="Q57" s="33"/>
      <c r="R57" s="34"/>
      <c r="S57" s="30" t="s">
        <v>161</v>
      </c>
      <c r="T57" s="30" t="s">
        <v>162</v>
      </c>
    </row>
    <row r="58" spans="14:20" x14ac:dyDescent="0.35">
      <c r="N58" s="35"/>
      <c r="O58" s="36"/>
      <c r="P58" s="36"/>
      <c r="Q58" s="36"/>
      <c r="R58" s="37"/>
      <c r="S58" s="31"/>
      <c r="T58" s="31"/>
    </row>
    <row r="59" spans="14:20" x14ac:dyDescent="0.35">
      <c r="N59" s="35"/>
      <c r="O59" s="36"/>
      <c r="P59" s="36"/>
      <c r="Q59" s="36"/>
      <c r="R59" s="37"/>
      <c r="S59" s="27" t="str">
        <f>INDEX(B2:B41,MATCH(N57,A2:A41,0))</f>
        <v>Benali</v>
      </c>
      <c r="T59" s="27">
        <f>INDEX(P2:P41,MATCH(N57,A2:A41,0))</f>
        <v>1730.4</v>
      </c>
    </row>
    <row r="60" spans="14:20" x14ac:dyDescent="0.35">
      <c r="N60" s="35"/>
      <c r="O60" s="36"/>
      <c r="P60" s="36"/>
      <c r="Q60" s="36"/>
      <c r="R60" s="37"/>
      <c r="S60" s="28"/>
      <c r="T60" s="28"/>
    </row>
    <row r="61" spans="14:20" x14ac:dyDescent="0.35">
      <c r="N61" s="35"/>
      <c r="O61" s="36"/>
      <c r="P61" s="36"/>
      <c r="Q61" s="36"/>
      <c r="R61" s="37"/>
      <c r="S61" s="28"/>
      <c r="T61" s="28"/>
    </row>
    <row r="62" spans="14:20" x14ac:dyDescent="0.35">
      <c r="N62" s="38"/>
      <c r="O62" s="39"/>
      <c r="P62" s="39"/>
      <c r="Q62" s="39"/>
      <c r="R62" s="40"/>
      <c r="S62" s="29"/>
      <c r="T62" s="29"/>
    </row>
    <row r="64" spans="14:20" x14ac:dyDescent="0.35">
      <c r="O64" s="9"/>
    </row>
  </sheetData>
  <mergeCells count="14">
    <mergeCell ref="N46:T48"/>
    <mergeCell ref="N49:R50"/>
    <mergeCell ref="N51:R52"/>
    <mergeCell ref="N53:R54"/>
    <mergeCell ref="N55:R56"/>
    <mergeCell ref="S49:T50"/>
    <mergeCell ref="S51:T52"/>
    <mergeCell ref="S53:T54"/>
    <mergeCell ref="S55:T56"/>
    <mergeCell ref="T59:T62"/>
    <mergeCell ref="S57:S58"/>
    <mergeCell ref="T57:T58"/>
    <mergeCell ref="N57:R62"/>
    <mergeCell ref="S59:S6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dashbord</vt:lpstr>
      <vt:lpstr>Feuil2</vt:lpstr>
      <vt:lpstr>Assurances_Auto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IMANE CHHIBAT</cp:lastModifiedBy>
  <dcterms:created xsi:type="dcterms:W3CDTF">2025-12-28T12:53:27Z</dcterms:created>
  <dcterms:modified xsi:type="dcterms:W3CDTF">2025-12-31T09:58:28Z</dcterms:modified>
</cp:coreProperties>
</file>